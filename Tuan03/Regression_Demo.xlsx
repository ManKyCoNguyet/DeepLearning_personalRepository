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NTAI\2026\sgu26k2_HocSau_KHDL\"/>
    </mc:Choice>
  </mc:AlternateContent>
  <xr:revisionPtr revIDLastSave="0" documentId="13_ncr:1_{45A737AA-CD4C-40D3-B4E4-0883CDB47147}" xr6:coauthVersionLast="47" xr6:coauthVersionMax="47" xr10:uidLastSave="{00000000-0000-0000-0000-000000000000}"/>
  <bookViews>
    <workbookView xWindow="28680" yWindow="-120" windowWidth="15600" windowHeight="11040" xr2:uid="{1414CBA2-9857-405A-A3C0-B4ACC8BAD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F4" i="1" s="1"/>
  <c r="B11" i="1" a="1"/>
  <c r="E8" i="1"/>
  <c r="F8" i="1" s="1"/>
  <c r="E7" i="1"/>
  <c r="F7" i="1" s="1"/>
  <c r="E6" i="1"/>
  <c r="F6" i="1" s="1"/>
  <c r="E5" i="1"/>
  <c r="F5" i="1" s="1"/>
  <c r="B12" i="1" a="1"/>
  <c r="F9" i="1" l="1"/>
  <c r="B14" i="1" a="1"/>
  <c r="B16" i="1" l="1" a="1"/>
  <c r="C18" i="1" s="1" a="1"/>
  <c r="C19" i="1" s="1" a="1"/>
  <c r="C20" i="1" s="1" a="1"/>
  <c r="E23" i="1" l="1" a="1"/>
  <c r="C24" i="1" s="1" a="1"/>
  <c r="D24" i="1" s="1" a="1"/>
  <c r="E24" i="1" s="1" a="1"/>
  <c r="C25" i="1" s="1" a="1"/>
  <c r="D25" i="1" s="1" a="1"/>
  <c r="E25" i="1" s="1" a="1"/>
  <c r="C26" i="1" s="1" a="1"/>
  <c r="D26" i="1" s="1" a="1"/>
  <c r="E26" i="1" s="1" a="1"/>
  <c r="C27" i="1" s="1" a="1"/>
  <c r="D27" i="1" s="1" a="1"/>
  <c r="E27" i="1" s="1" a="1"/>
  <c r="C28" i="1" s="1" a="1"/>
  <c r="D28" i="1" s="1" a="1"/>
  <c r="E28" i="1" s="1" a="1"/>
  <c r="C29" i="1" s="1" a="1"/>
  <c r="D29" i="1" s="1" a="1"/>
  <c r="E29" i="1" s="1" a="1"/>
  <c r="C30" i="1" s="1" a="1"/>
  <c r="D30" i="1" s="1" a="1"/>
  <c r="E30" i="1" s="1" a="1"/>
  <c r="C31" i="1" s="1" a="1"/>
  <c r="D31" i="1" s="1" a="1"/>
  <c r="E31" i="1" s="1" a="1"/>
  <c r="C32" i="1" s="1" a="1"/>
  <c r="D32" i="1" s="1" a="1"/>
  <c r="E32" i="1" s="1" a="1"/>
  <c r="C33" i="1" s="1" a="1"/>
  <c r="D33" i="1" s="1" a="1"/>
  <c r="E33" i="1" s="1" a="1"/>
  <c r="C34" i="1" s="1" a="1"/>
  <c r="D34" i="1" s="1" a="1"/>
  <c r="E34" i="1" s="1" a="1"/>
  <c r="C35" i="1" s="1" a="1"/>
  <c r="D35" i="1" s="1" a="1"/>
  <c r="E35" i="1" s="1" a="1"/>
  <c r="C36" i="1" s="1" a="1"/>
  <c r="D36" i="1" s="1" a="1"/>
  <c r="E36" i="1" s="1" a="1"/>
  <c r="C37" i="1" s="1" a="1"/>
  <c r="D37" i="1" s="1" a="1"/>
  <c r="E37" i="1" s="1" a="1"/>
  <c r="C38" i="1" s="1" a="1"/>
  <c r="D38" i="1" s="1" a="1"/>
  <c r="E38" i="1" s="1" a="1"/>
  <c r="C39" i="1" s="1" a="1"/>
  <c r="D39" i="1" s="1" a="1"/>
  <c r="E39" i="1" s="1" a="1"/>
  <c r="C40" i="1" s="1" a="1"/>
  <c r="D40" i="1" s="1" a="1"/>
  <c r="E40" i="1" s="1" a="1"/>
  <c r="C41" i="1" s="1" a="1"/>
  <c r="D41" i="1" s="1" a="1"/>
  <c r="E41" i="1" s="1" a="1"/>
  <c r="C42" i="1" s="1" a="1"/>
  <c r="D42" i="1" s="1" a="1"/>
  <c r="E42" i="1" s="1" a="1"/>
  <c r="C43" i="1" s="1" a="1"/>
  <c r="D43" i="1" s="1" a="1"/>
  <c r="E43" i="1" s="1" a="1"/>
  <c r="C44" i="1" s="1" a="1"/>
  <c r="D44" i="1" s="1" a="1"/>
  <c r="E44" i="1" s="1" a="1"/>
  <c r="C45" i="1" s="1" a="1"/>
  <c r="D45" i="1" s="1" a="1"/>
  <c r="E45" i="1" s="1" a="1"/>
  <c r="C46" i="1" s="1" a="1"/>
  <c r="D46" i="1" s="1" a="1"/>
  <c r="E46" i="1" s="1" a="1"/>
  <c r="C47" i="1" s="1" a="1"/>
  <c r="D47" i="1" s="1" a="1"/>
  <c r="E47" i="1" s="1" a="1"/>
  <c r="C48" i="1" s="1" a="1"/>
  <c r="D48" i="1" s="1" a="1"/>
  <c r="E48" i="1" s="1" a="1"/>
  <c r="C49" i="1" s="1" a="1"/>
  <c r="D49" i="1" s="1" a="1"/>
  <c r="E49" i="1" s="1" a="1"/>
  <c r="C50" i="1" s="1" a="1"/>
  <c r="D50" i="1" s="1" a="1"/>
  <c r="E50" i="1" s="1" a="1"/>
  <c r="C51" i="1" s="1" a="1"/>
  <c r="D51" i="1" s="1" a="1"/>
  <c r="E51" i="1" s="1" a="1"/>
  <c r="C52" i="1" s="1" a="1"/>
  <c r="D52" i="1" s="1" a="1"/>
  <c r="E52" i="1" s="1" a="1"/>
  <c r="C53" i="1" s="1" a="1"/>
  <c r="D53" i="1" s="1" a="1"/>
  <c r="E53" i="1" s="1" a="1"/>
  <c r="C54" i="1" s="1" a="1"/>
  <c r="D54" i="1" s="1" a="1"/>
  <c r="E54" i="1" s="1" a="1"/>
  <c r="C55" i="1" s="1" a="1"/>
  <c r="D55" i="1" s="1" a="1"/>
  <c r="E55" i="1" s="1" a="1"/>
  <c r="C56" i="1" s="1" a="1"/>
  <c r="D56" i="1" s="1" a="1"/>
  <c r="E56" i="1" s="1" a="1"/>
  <c r="C57" i="1" s="1" a="1"/>
  <c r="D57" i="1" s="1" a="1"/>
  <c r="E57" i="1" s="1" a="1"/>
  <c r="C58" i="1" s="1" a="1"/>
  <c r="D58" i="1" s="1" a="1"/>
  <c r="E58" i="1" s="1" a="1"/>
  <c r="C59" i="1" s="1" a="1"/>
  <c r="D59" i="1" s="1" a="1"/>
  <c r="E59" i="1" s="1" a="1"/>
  <c r="C60" i="1" s="1" a="1"/>
  <c r="D60" i="1" s="1" a="1"/>
  <c r="E60" i="1" s="1" a="1"/>
  <c r="C61" i="1" s="1" a="1"/>
  <c r="D61" i="1" s="1" a="1"/>
  <c r="E61" i="1" s="1" a="1"/>
  <c r="C62" i="1" s="1" a="1"/>
  <c r="D62" i="1" s="1" a="1"/>
  <c r="E62" i="1" s="1" a="1"/>
  <c r="C63" i="1" s="1" a="1"/>
  <c r="D63" i="1" s="1" a="1"/>
  <c r="E63" i="1" s="1" a="1"/>
  <c r="C64" i="1" s="1" a="1"/>
  <c r="D64" i="1" s="1" a="1"/>
  <c r="E64" i="1" s="1" a="1"/>
  <c r="C65" i="1" s="1" a="1"/>
  <c r="D65" i="1" s="1" a="1"/>
  <c r="E65" i="1" s="1" a="1"/>
  <c r="C66" i="1" s="1" a="1"/>
  <c r="D66" i="1" s="1" a="1"/>
  <c r="E66" i="1" s="1" a="1"/>
  <c r="C67" i="1" s="1" a="1"/>
  <c r="D67" i="1" s="1" a="1"/>
  <c r="E67" i="1" s="1" a="1"/>
  <c r="C68" i="1" s="1" a="1"/>
  <c r="D68" i="1" s="1" a="1"/>
  <c r="E68" i="1" s="1" a="1"/>
  <c r="C69" i="1" s="1" a="1"/>
  <c r="D69" i="1" s="1" a="1"/>
  <c r="E69" i="1" s="1" a="1"/>
  <c r="C70" i="1" s="1" a="1"/>
  <c r="D70" i="1" s="1" a="1"/>
  <c r="E70" i="1" s="1" a="1"/>
  <c r="C71" i="1" s="1" a="1"/>
  <c r="D71" i="1" s="1" a="1"/>
  <c r="E71" i="1" s="1" a="1"/>
  <c r="C72" i="1" s="1" a="1"/>
  <c r="D72" i="1" s="1" a="1"/>
  <c r="E72" i="1" s="1" a="1"/>
  <c r="C73" i="1" s="1" a="1"/>
  <c r="D73" i="1" s="1" a="1"/>
  <c r="E73" i="1" s="1" a="1"/>
  <c r="C74" i="1" s="1" a="1"/>
  <c r="D74" i="1" s="1" a="1"/>
  <c r="E74" i="1" s="1" a="1"/>
  <c r="C75" i="1" s="1" a="1"/>
  <c r="D75" i="1" s="1" a="1"/>
  <c r="E75" i="1" s="1" a="1"/>
  <c r="C76" i="1" s="1" a="1"/>
  <c r="D76" i="1" s="1" a="1"/>
  <c r="E76" i="1" s="1" a="1"/>
  <c r="C77" i="1" s="1" a="1"/>
  <c r="D77" i="1" s="1" a="1"/>
  <c r="E77" i="1" s="1" a="1"/>
  <c r="C78" i="1" s="1" a="1"/>
  <c r="D78" i="1" s="1" a="1"/>
  <c r="E78" i="1" s="1" a="1"/>
  <c r="C79" i="1" s="1" a="1"/>
  <c r="D79" i="1" s="1" a="1"/>
  <c r="E79" i="1" s="1" a="1"/>
  <c r="C80" i="1" s="1" a="1"/>
  <c r="D80" i="1" s="1" a="1"/>
  <c r="E80" i="1" s="1" a="1"/>
  <c r="C81" i="1" s="1" a="1"/>
  <c r="D81" i="1" s="1" a="1"/>
  <c r="E81" i="1" s="1" a="1"/>
  <c r="C82" i="1" s="1" a="1"/>
  <c r="D82" i="1" s="1" a="1"/>
  <c r="E82" i="1" s="1" a="1"/>
  <c r="C83" i="1" s="1" a="1"/>
  <c r="D83" i="1" s="1" a="1"/>
  <c r="E83" i="1" s="1" a="1"/>
  <c r="C84" i="1" s="1" a="1"/>
  <c r="D84" i="1" s="1" a="1"/>
  <c r="E84" i="1" s="1" a="1"/>
  <c r="C85" i="1" s="1" a="1"/>
  <c r="D85" i="1" s="1" a="1"/>
  <c r="E85" i="1" s="1" a="1"/>
  <c r="C86" i="1" s="1" a="1"/>
  <c r="D86" i="1" s="1" a="1"/>
  <c r="E86" i="1" s="1" a="1"/>
  <c r="C87" i="1" s="1" a="1"/>
  <c r="D87" i="1" s="1" a="1"/>
  <c r="E87" i="1" s="1" a="1"/>
  <c r="C88" i="1" s="1" a="1"/>
  <c r="D88" i="1" s="1" a="1"/>
  <c r="E88" i="1" s="1" a="1"/>
  <c r="C89" i="1" s="1" a="1"/>
  <c r="D89" i="1" s="1" a="1"/>
  <c r="E89" i="1" s="1" a="1"/>
  <c r="C90" i="1" s="1" a="1"/>
  <c r="D90" i="1" s="1" a="1"/>
  <c r="E90" i="1" s="1" a="1"/>
  <c r="C91" i="1" s="1" a="1"/>
  <c r="D91" i="1" s="1" a="1"/>
  <c r="E91" i="1" s="1" a="1"/>
  <c r="C92" i="1" s="1" a="1"/>
  <c r="D92" i="1" s="1" a="1"/>
  <c r="E92" i="1" s="1" a="1"/>
  <c r="C93" i="1" s="1" a="1"/>
  <c r="D93" i="1" s="1" a="1"/>
  <c r="E93" i="1" s="1" a="1"/>
  <c r="C94" i="1" s="1" a="1"/>
  <c r="D94" i="1" s="1" a="1"/>
  <c r="E94" i="1" s="1" a="1"/>
  <c r="C95" i="1" s="1" a="1"/>
  <c r="D95" i="1" s="1" a="1"/>
  <c r="E95" i="1" s="1" a="1"/>
  <c r="C96" i="1" s="1" a="1"/>
  <c r="D96" i="1" s="1" a="1"/>
  <c r="E96" i="1" s="1" a="1"/>
  <c r="C97" i="1" s="1" a="1"/>
  <c r="D97" i="1" s="1" a="1"/>
  <c r="E97" i="1" s="1" a="1"/>
  <c r="C98" i="1" s="1" a="1"/>
  <c r="D98" i="1" s="1" a="1"/>
  <c r="E98" i="1" s="1" a="1"/>
  <c r="C99" i="1" s="1" a="1"/>
  <c r="D99" i="1" s="1" a="1"/>
  <c r="E99" i="1" s="1" a="1"/>
  <c r="C100" i="1" s="1" a="1"/>
  <c r="D100" i="1" s="1" a="1"/>
  <c r="E100" i="1" s="1" a="1"/>
  <c r="C101" i="1" s="1" a="1"/>
  <c r="D101" i="1" s="1" a="1"/>
  <c r="E101" i="1" s="1" a="1"/>
  <c r="C102" i="1" s="1" a="1"/>
  <c r="D102" i="1" s="1" a="1"/>
  <c r="E102" i="1" s="1" a="1"/>
  <c r="C103" i="1" s="1" a="1"/>
  <c r="D103" i="1" s="1" a="1"/>
  <c r="E103" i="1" s="1" a="1"/>
  <c r="C104" i="1" s="1" a="1"/>
  <c r="D104" i="1" s="1" a="1"/>
  <c r="E104" i="1" s="1" a="1"/>
  <c r="C105" i="1" s="1" a="1"/>
  <c r="D105" i="1" s="1" a="1"/>
  <c r="E105" i="1" s="1" a="1"/>
  <c r="C106" i="1" s="1" a="1"/>
  <c r="D106" i="1" s="1" a="1"/>
  <c r="E106" i="1" s="1" a="1"/>
  <c r="C107" i="1" s="1" a="1"/>
  <c r="D107" i="1" s="1" a="1"/>
  <c r="E107" i="1" s="1" a="1"/>
  <c r="C108" i="1" s="1" a="1"/>
  <c r="D108" i="1" s="1" a="1"/>
  <c r="E108" i="1" s="1" a="1"/>
  <c r="C109" i="1" s="1" a="1"/>
  <c r="D109" i="1" s="1" a="1"/>
  <c r="E109" i="1" s="1" a="1"/>
  <c r="C110" i="1" s="1" a="1"/>
  <c r="D110" i="1" s="1" a="1"/>
  <c r="E110" i="1" s="1" a="1"/>
  <c r="C111" i="1" s="1" a="1"/>
  <c r="D111" i="1" s="1" a="1"/>
  <c r="E111" i="1" s="1" a="1"/>
  <c r="C112" i="1" s="1" a="1"/>
  <c r="D112" i="1" s="1" a="1"/>
  <c r="E112" i="1" s="1" a="1"/>
  <c r="C113" i="1" s="1" a="1"/>
  <c r="D113" i="1" s="1" a="1"/>
  <c r="E113" i="1" s="1" a="1"/>
  <c r="C114" i="1" s="1" a="1"/>
  <c r="D114" i="1" s="1" a="1"/>
  <c r="E114" i="1" s="1" a="1"/>
  <c r="C115" i="1" s="1" a="1"/>
  <c r="D115" i="1" s="1" a="1"/>
  <c r="E115" i="1" s="1" a="1"/>
  <c r="C116" i="1" s="1" a="1"/>
  <c r="D116" i="1" s="1" a="1"/>
  <c r="E116" i="1" s="1" a="1"/>
  <c r="C117" i="1" s="1" a="1"/>
  <c r="D117" i="1" s="1" a="1"/>
  <c r="E117" i="1" s="1" a="1"/>
  <c r="C118" i="1" s="1" a="1"/>
  <c r="D118" i="1" s="1" a="1"/>
  <c r="E118" i="1" s="1" a="1"/>
  <c r="C119" i="1" s="1" a="1"/>
  <c r="D119" i="1" s="1" a="1"/>
  <c r="E119" i="1" s="1" a="1"/>
  <c r="C120" i="1" s="1" a="1"/>
  <c r="D120" i="1" s="1" a="1"/>
  <c r="E120" i="1" s="1" a="1"/>
  <c r="C121" i="1" s="1" a="1"/>
  <c r="D121" i="1" s="1" a="1"/>
  <c r="E121" i="1" s="1" a="1"/>
  <c r="C122" i="1" s="1" a="1"/>
  <c r="D122" i="1" s="1" a="1"/>
  <c r="E122" i="1" s="1" a="1"/>
  <c r="C123" i="1" s="1" a="1"/>
  <c r="D123" i="1" s="1" a="1"/>
  <c r="E123" i="1" s="1" a="1"/>
  <c r="C124" i="1" s="1" a="1"/>
  <c r="D124" i="1" s="1" a="1"/>
  <c r="E124" i="1" s="1" a="1"/>
  <c r="C125" i="1" s="1" a="1"/>
  <c r="D125" i="1" s="1" a="1"/>
  <c r="E125" i="1" s="1" a="1"/>
  <c r="C126" i="1" s="1" a="1"/>
  <c r="D126" i="1" s="1" a="1"/>
  <c r="E126" i="1" s="1" a="1"/>
  <c r="C127" i="1" s="1" a="1"/>
  <c r="D127" i="1" s="1" a="1"/>
  <c r="E127" i="1" s="1" a="1"/>
  <c r="C128" i="1" s="1" a="1"/>
  <c r="D128" i="1" s="1" a="1"/>
  <c r="E128" i="1" s="1" a="1"/>
  <c r="C129" i="1" s="1" a="1"/>
  <c r="D129" i="1" s="1" a="1"/>
  <c r="E129" i="1" s="1" a="1"/>
  <c r="C130" i="1" s="1" a="1"/>
  <c r="D130" i="1" s="1" a="1"/>
  <c r="E130" i="1" s="1" a="1"/>
  <c r="C131" i="1" s="1" a="1"/>
  <c r="D131" i="1" s="1" a="1"/>
  <c r="E131" i="1" s="1" a="1"/>
  <c r="C132" i="1" s="1" a="1"/>
  <c r="D132" i="1" s="1" a="1"/>
  <c r="E132" i="1" s="1" a="1"/>
  <c r="C133" i="1" s="1" a="1"/>
  <c r="D133" i="1" s="1" a="1"/>
  <c r="E133" i="1" s="1" a="1"/>
  <c r="C134" i="1" s="1" a="1"/>
  <c r="D134" i="1" s="1" a="1"/>
  <c r="E134" i="1" s="1" a="1"/>
  <c r="C135" i="1" s="1" a="1"/>
  <c r="D135" i="1" s="1" a="1"/>
  <c r="E135" i="1" s="1" a="1"/>
  <c r="C136" i="1" s="1" a="1"/>
  <c r="D136" i="1" s="1" a="1"/>
  <c r="E136" i="1" s="1" a="1"/>
  <c r="C137" i="1" s="1" a="1"/>
  <c r="D137" i="1" s="1" a="1"/>
  <c r="E137" i="1" s="1" a="1"/>
  <c r="C138" i="1" s="1" a="1"/>
  <c r="D138" i="1" s="1" a="1"/>
  <c r="E138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</futureMetadata>
  <cellMetadata count="1">
    <bk>
      <rc t="1" v="0"/>
    </bk>
  </cellMetadata>
  <valueMetadata count="35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sympy as sym
a = sym.Symbol('a')
b = sym.Symbol('b')
residual = 0
train_data = xl(%P2%)
for i in range(len(train_data)):
    x, y = train_data.iloc[i]
    residual += (a*x + b - y)**2
residual = residual / (2*len(train_data))
f'{residual}'</code>
    </pythonScript>
    <pythonScript>
      <code>f'{sym.collect(sym.expand(residual, chop=True), [a,b])}'</code>
    </pythonScript>
    <pythonScript>
      <code>r_diff_a = sym.diff(residual,a)
f'{r_diff_a}'</code>
    </pythonScript>
    <pythonScript>
      <code>r_diff_b = sym.diff(residual,b)
f'{r_diff_b}'</code>
    </pythonScript>
    <pythonScript>
      <code>import numpy as np
A = np.array([[float(r_diff_a.coeff(a)), float(r_diff_a.coeff(b))], [float(r_diff_b.coeff(a)), float(r_diff_b.coeff(b))]])
f'{A}'</code>
    </pythonScript>
    <pythonScript>
      <code>B = np.array([-r_diff_a.subs({a:0, b:0}), -r_diff_b.subs({a:0, b:0})])
f'{B}'</code>
    </pythonScript>
    <pythonScript>
      <code>X = np.matmul(np.linalg.inv(A),B)
f'{X}'</code>
    </pythonScript>
    <pythonScript>
      <code>float(residual.evalf(subs={a: xl(%P2%), b: xl(%P3%)}))</code>
    </pythonScript>
    <pythonScript>
      <code>float(xl(%P2%) - xl(%P3%)*r_diff_a.evalf(subs={a:xl(%P4%), b:xl(%P5%)}))</code>
    </pythonScript>
    <pythonScript>
      <code>float(xl(%P2%) - xl(%P3%)*r_diff_b.evalf(subs={a:xl(%P4%), b:xl(%P5%)}))</code>
    </pythonScript>
  </pythonScripts>
</python>
</file>

<file path=xl/sharedStrings.xml><?xml version="1.0" encoding="utf-8"?>
<sst xmlns="http://schemas.openxmlformats.org/spreadsheetml/2006/main" count="25" uniqueCount="18">
  <si>
    <t>index</t>
  </si>
  <si>
    <t>height</t>
  </si>
  <si>
    <t>weight</t>
  </si>
  <si>
    <t>A</t>
  </si>
  <si>
    <t>B</t>
  </si>
  <si>
    <t>C</t>
  </si>
  <si>
    <t>D</t>
  </si>
  <si>
    <t>E</t>
  </si>
  <si>
    <t>a</t>
  </si>
  <si>
    <t>b</t>
  </si>
  <si>
    <t>error</t>
  </si>
  <si>
    <t>pred</t>
  </si>
  <si>
    <t>Tinh toan residual</t>
  </si>
  <si>
    <t>diff(residual_a)</t>
  </si>
  <si>
    <t>diff(residual_b)</t>
  </si>
  <si>
    <t>lr</t>
  </si>
  <si>
    <t>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</si>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</sst>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3">
  <rv s="0">
    <fb t="s">(150*a + b - 45)**2/10 + (155*a + b - 50)**2/10 + (165*a + b - 55)**2/10 + (170*a + b - 65)**2/10 + (175*a + b - 70)**2/10</fb>
    <v>&lt;class 'str'&gt;</v>
    <v>str</v>
    <v>(150*a + b - 45)**2/10 + (155*a + b - 50)**2/10 + (165*a + b - 55)**2/10 + (170*a + b - 65)**2/10 + (175*a + b - 70)**2/10</v>
    <v>(150*a + b - 45)**2/10 + (155*a + b - 50)**2/10 + (165*a + b - 55)**2/10 + (170*a + b - 65)**2/10 + (175*a + b - 70)**2/10</v>
    <v>0</v>
  </rv>
  <rv s="0">
    <fb t="s">26655*a**2/2 + a*(163*b - 9375) + b**2/2 - 57*b + 3335/2</fb>
    <v>&lt;class 'str'&gt;</v>
    <v>str</v>
    <v>26655*a**2/2 + a*(163*b - 9375) + b**2/2 - 57*b + 3335/2</v>
    <v>26655*a**2/2 + a*(163*b - 9375) + b**2/2 - 57*b + 3335/2</v>
    <v>0</v>
  </rv>
  <rv s="0">
    <fb t="s">26655*a + 163*b - 9375</fb>
    <v>&lt;class 'str'&gt;</v>
    <v>str</v>
    <v>26655*a + 163*b - 9375</v>
    <v>26655*a + 163*b - 9375</v>
    <v>0</v>
  </rv>
  <rv s="0">
    <fb t="s">163*a + b - 57</fb>
    <v>&lt;class 'str'&gt;</v>
    <v>str</v>
    <v>163*a + b - 57</v>
    <v>163*a + b - 57</v>
    <v>0</v>
  </rv>
  <rv s="0">
    <fb t="s">[[2.6655e+04 1.6300e+02]
 [1.6300e+02 1.0000e+00]]</fb>
    <v>&lt;class 'str'&gt;</v>
    <v>str</v>
    <v>[[2.6655e+04 1.6300e+02]
 [1.6300e+02 1.0000e+00]]</v>
    <v>[[2.6655e+04 1.6300e+02]
 [1.6300e+02 1.0000e+00]]</v>
    <v>0</v>
  </rv>
  <rv s="0">
    <fb t="s">[9375 57]</fb>
    <v>&lt;class 'str'&gt;</v>
    <v>str</v>
    <v>[9375 57]</v>
    <v>[9375 57]</v>
    <v>0</v>
  </rv>
  <rv s="0">
    <fb t="s">[0.976744186046474 -102.209302325577]</fb>
    <v>&lt;class 'str'&gt;</v>
    <v>str</v>
    <v>[0.976744186046474 -102.209302325577]</v>
    <v>[0.976744186046474 -102.209302325577]</v>
    <v>0</v>
  </rv>
  <rv s="1">
    <fb>1272327.5</fb>
    <v>&lt;class 'float'&gt;</v>
    <v>float</v>
    <v>1272327.5</v>
    <v>1272327.5</v>
    <v>0</v>
  </rv>
  <rv s="1">
    <fb>7.3956499999999998</fb>
    <v>&lt;class 'float'&gt;</v>
    <v>float</v>
    <v>7.39565</v>
    <v>7.3956499999999998</v>
    <v>0</v>
  </rv>
  <rv s="1">
    <fb>19.984069999999999</fb>
    <v>&lt;class 'float'&gt;</v>
    <v>float</v>
    <v>19.98407</v>
    <v>19.984069999999999</v>
    <v>0</v>
  </rv>
  <rv s="1">
    <fb>684440.61405566765</fb>
    <v>&lt;class 'float'&gt;</v>
    <v>float</v>
    <v>684440.6140556677</v>
    <v>684440.61405566765</v>
    <v>0</v>
  </rv>
  <rv s="1">
    <fb>5.4855154584000001</fb>
    <v>&lt;class 'float'&gt;</v>
    <v>float</v>
    <v>5.4855154584</v>
    <v>5.4855154584000001</v>
    <v>0</v>
  </rv>
  <rv s="1">
    <fb>19.972385249799999</fb>
    <v>&lt;class 'float'&gt;</v>
    <v>float</v>
    <v>19.9723852498</v>
    <v>19.972385249799999</v>
    <v>0</v>
  </rv>
  <rv s="1">
    <fb>368196.10479876783</fb>
    <v>&lt;class 'float'&gt;</v>
    <v>float</v>
    <v>368196.10479876783</v>
    <v>368196.10479876783</v>
    <v>0</v>
  </rv>
  <rv s="1">
    <fb>4.0845463250063059</fb>
    <v>&lt;class 'float'&gt;</v>
    <v>float</v>
    <v>4.084546325006306</v>
    <v>4.0845463250063059</v>
    <v>0</v>
  </rv>
  <rv s="1">
    <fb>19.963814135750308</fb>
    <v>&lt;class 'float'&gt;</v>
    <v>float</v>
    <v>19.963814135750308</v>
    <v>19.963814135750308</v>
    <v>0</v>
  </rv>
  <rv s="1">
    <fb>198077.34211420181</fb>
    <v>&lt;class 'float'&gt;</v>
    <v>float</v>
    <v>198077.3421142018</v>
    <v>198077.34211420181</v>
    <v>0</v>
  </rv>
  <rv s="1">
    <fb>3.0570194850346022</fb>
    <v>&lt;class 'float'&gt;</v>
    <v>float</v>
    <v>3.057019485034602</v>
    <v>3.0570194850346022</v>
    <v>0</v>
  </rv>
  <rv s="1">
    <fb>19.95752668709919</fb>
    <v>&lt;class 'float'&gt;</v>
    <v>float</v>
    <v>19.95752668709919</v>
    <v>19.95752668709919</v>
    <v>0</v>
  </rv>
  <rv s="1">
    <fb>106564.62783677243</fb>
    <v>&lt;class 'float'&gt;</v>
    <v>float</v>
    <v>106564.62783677243</v>
    <v>106564.62783677243</v>
    <v>0</v>
  </rv>
  <rv s="1">
    <fb>2.3033901727986574</fb>
    <v>&lt;class 'float'&gt;</v>
    <v>float</v>
    <v>2.3033901727986574</v>
    <v>2.3033901727986574</v>
    <v>0</v>
  </rv>
  <rv s="1">
    <fb>19.952914170071711</fb>
    <v>&lt;class 'float'&gt;</v>
    <v>float</v>
    <v>19.95291417007171</v>
    <v>19.952914170071711</v>
    <v>0</v>
  </rv>
  <rv s="1">
    <fb>57336.801685656064</fb>
    <v>&lt;class 'float'&gt;</v>
    <v>float</v>
    <v>57336.801685656064</v>
    <v>57336.801685656064</v>
    <v>0</v>
  </rv>
  <rv s="1">
    <fb>1.7506482721419583</fb>
    <v>&lt;class 'float'&gt;</v>
    <v>float</v>
    <v>1.7506482721419583</v>
    <v>1.7506482721419583</v>
    <v>0</v>
  </rv>
  <rv s="1">
    <fb>19.949530114948349</fb>
    <v>&lt;class 'float'&gt;</v>
    <v>float</v>
    <v>19.94953011494835</v>
    <v>19.949530114948349</v>
    <v>0</v>
  </rv>
  <rv s="1">
    <fb>30855.466422796486</fb>
    <v>&lt;class 'float'&gt;</v>
    <v>float</v>
    <v>30855.466422796486</v>
    <v>30855.466422796486</v>
    <v>0</v>
  </rv>
  <rv s="1">
    <fb>1.3452452411151534</fb>
    <v>&lt;class 'float'&gt;</v>
    <v>float</v>
    <v>1.3452452411151534</v>
    <v>1.3452452411151534</v>
    <v>0</v>
  </rv>
  <rv s="1">
    <fb>19.947047062963609</fb>
    <v>&lt;class 'float'&gt;</v>
    <v>float</v>
    <v>19.94704706296361</v>
    <v>19.947047062963609</v>
    <v>0</v>
  </rv>
  <rv s="1">
    <fb>16610.248379496992</fb>
    <v>&lt;class 'float'&gt;</v>
    <v>float</v>
    <v>16610.248379496992</v>
    <v>16610.248379496992</v>
    <v>0</v>
  </rv>
  <rv s="1">
    <fb>1.0479064353832785</fb>
    <v>&lt;class 'float'&gt;</v>
    <v>float</v>
    <v>1.0479064353832785</v>
    <v>1.0479064353832785</v>
    <v>0</v>
  </rv>
  <rv s="1">
    <fb>19.945224842749962</fb>
    <v>&lt;class 'float'&gt;</v>
    <v>float</v>
    <v>19.945224842749962</v>
    <v>19.945224842749962</v>
    <v>0</v>
  </rv>
  <rv s="1">
    <fb>8947.2572540255587</fb>
    <v>&lt;class 'float'&gt;</v>
    <v>float</v>
    <v>8947.257254025559</v>
    <v>8947.2572540255587</v>
    <v>0</v>
  </rv>
  <rv s="1">
    <fb>0.82982625853818315</fb>
    <v>&lt;class 'float'&gt;</v>
    <v>float</v>
    <v>0.8298262585381831</v>
    <v>0.82982625853818315</v>
    <v>0</v>
  </rv>
  <rv s="1">
    <fb>19.943887303011859</fb>
    <v>&lt;class 'float'&gt;</v>
    <v>float</v>
    <v>19.94388730301186</v>
    <v>19.943887303011859</v>
    <v>0</v>
  </rv>
  <rv s="1">
    <fb>4825.071632486518</fb>
    <v>&lt;class 'float'&gt;</v>
    <v>float</v>
    <v>4825.071632486518</v>
    <v>4825.071632486518</v>
    <v>0</v>
  </rv>
  <rv s="1">
    <fb>0.66987753302092112</fb>
    <v>&lt;class 'float'&gt;</v>
    <v>float</v>
    <v>0.6698775330209211</v>
    <v>0.66987753302092112</v>
    <v>0</v>
  </rv>
  <rv s="1">
    <fb>19.942905247337411</fb>
    <v>&lt;class 'float'&gt;</v>
    <v>float</v>
    <v>19.94290524733741</v>
    <v>19.942905247337411</v>
    <v>0</v>
  </rv>
  <rv s="1">
    <fb>2607.6066736035264</fb>
    <v>&lt;class 'float'&gt;</v>
    <v>float</v>
    <v>2607.6066736035264</v>
    <v>2607.6066736035264</v>
    <v>0</v>
  </rv>
  <rv s="1">
    <fb>0.55256474104103459</fb>
    <v>&lt;class 'float'&gt;</v>
    <v>float</v>
    <v>0.5525647410410346</v>
    <v>0.55256474104103459</v>
    <v>0</v>
  </rv>
  <rv s="1">
    <fb>19.942183917906114</fb>
    <v>&lt;class 'float'&gt;</v>
    <v>float</v>
    <v>19.942183917906114</v>
    <v>19.942183917906114</v>
    <v>0</v>
  </rv>
  <rv s="1">
    <fb>1414.7562547509613</fb>
    <v>&lt;class 'float'&gt;</v>
    <v>float</v>
    <v>1414.7562547509613</v>
    <v>1414.7562547509613</v>
    <v>0</v>
  </rv>
  <rv s="1">
    <fb>0.46652284953035983</fb>
    <v>&lt;class 'float'&gt;</v>
    <v>float</v>
    <v>0.46652284953035983</v>
    <v>0.46652284953035983</v>
    <v>0</v>
  </rv>
  <rv s="1">
    <fb>19.941653815539038</fb>
    <v>&lt;class 'float'&gt;</v>
    <v>float</v>
    <v>19.941653815539038</v>
    <v>19.941653815539038</v>
    <v>0</v>
  </rv>
  <rv s="1">
    <fb>773.08112171580046</fb>
    <v>&lt;class 'float'&gt;</v>
    <v>float</v>
    <v>773.0811217158005</v>
    <v>773.08112171580046</v>
    <v>0</v>
  </rv>
  <rv s="1">
    <fb>0.40341628826871379</fb>
    <v>&lt;class 'float'&gt;</v>
    <v>float</v>
    <v>0.4034162882687138</v>
    <v>0.40341628826871379</v>
    <v>0</v>
  </rv>
  <rv s="1">
    <fb>19.941263966756146</fb>
    <v>&lt;class 'float'&gt;</v>
    <v>float</v>
    <v>19.941263966756146</v>
    <v>19.941263966756146</v>
    <v>0</v>
  </rv>
  <rv s="1">
    <fb>427.90206972090715</fb>
    <v>&lt;class 'float'&gt;</v>
    <v>float</v>
    <v>427.90206972090715</v>
    <v>427.90206972090715</v>
    <v>0</v>
  </rv>
  <rv s="1">
    <fb>0.35713141636487561</fb>
    <v>&lt;class 'float'&gt;</v>
    <v>float</v>
    <v>0.3571314163648756</v>
    <v>0.35713141636487561</v>
    <v>0</v>
  </rv>
  <rv s="1">
    <fb>19.9409769855666</fb>
    <v>&lt;class 'float'&gt;</v>
    <v>float</v>
    <v>19.9409769855666</v>
    <v>19.9409769855666</v>
    <v>0</v>
  </rv>
  <rv s="1">
    <fb>242.21842387773273</fb>
    <v>&lt;class 'float'&gt;</v>
    <v>float</v>
    <v>242.21842387773273</v>
    <v>242.21842387773273</v>
    <v>0</v>
  </rv>
  <rv s="1">
    <fb>0.32318424484634445</fb>
    <v>&lt;class 'float'&gt;</v>
    <v>float</v>
    <v>0.32318424484634445</v>
    <v>0.32318424484634445</v>
    <v>0</v>
  </rv>
  <rv s="1">
    <fb>19.940765451588071</fb>
    <v>&lt;class 'float'&gt;</v>
    <v>float</v>
    <v>19.94076545158807</v>
    <v>19.940765451588071</v>
    <v>0</v>
  </rv>
  <rv s="1">
    <fb>142.33282465375444</fb>
    <v>&lt;class 'float'&gt;</v>
    <v>float</v>
    <v>142.33282465375444</v>
    <v>142.33282465375444</v>
    <v>0</v>
  </rv>
  <rv s="1">
    <fb>0.29828603669646281</fb>
    <v>&lt;class 'float'&gt;</v>
    <v>float</v>
    <v>0.2982860366964628</v>
    <v>0.29828603669646281</v>
    <v>0</v>
  </rv>
  <rv s="1">
    <fb>19.940609253614454</fb>
    <v>&lt;class 'float'&gt;</v>
    <v>float</v>
    <v>19.940609253614454</v>
    <v>19.940609253614454</v>
    <v>0</v>
  </rv>
  <rv s="1">
    <fb>88.600935942713207</fb>
    <v>&lt;class 'float'&gt;</v>
    <v>float</v>
    <v>88.6009359427132</v>
    <v>88.600935942713207</v>
    <v>0</v>
  </rv>
  <rv s="1">
    <fb>0.28002470053162909</fb>
    <v>&lt;class 'float'&gt;</v>
    <v>float</v>
    <v>0.2800247005316291</v>
    <v>0.28002470053162909</v>
    <v>0</v>
  </rv>
  <rv s="1">
    <fb>19.940493641282103</fb>
    <v>&lt;class 'float'&gt;</v>
    <v>float</v>
    <v>19.940493641282103</v>
    <v>19.940493641282103</v>
    <v>0</v>
  </rv>
  <rv s="1">
    <fb>59.696710308507065</fb>
    <v>&lt;class 'float'&gt;</v>
    <v>float</v>
    <v>59.696710308507065</v>
    <v>59.696710308507065</v>
    <v>0</v>
  </rv>
  <rv s="1">
    <fb>0.26663111196963352</fb>
    <v>&lt;class 'float'&gt;</v>
    <v>float</v>
    <v>0.2666311119696335</v>
    <v>0.26663111196963352</v>
    <v>0</v>
  </rv>
  <rv s="1">
    <fb>19.940407796083825</fb>
    <v>&lt;class 'float'&gt;</v>
    <v>float</v>
    <v>19.940407796083825</v>
    <v>19.940407796083825</v>
    <v>0</v>
  </rv>
  <rv s="1">
    <fb>44.148135758606756</fb>
    <v>&lt;class 'float'&gt;</v>
    <v>float</v>
    <v>44.148135758606756</v>
    <v>44.148135758606756</v>
    <v>0</v>
  </rv>
  <rv s="1">
    <fb>0.25680772436651106</fb>
    <v>&lt;class 'float'&gt;</v>
    <v>float</v>
    <v>0.25680772436651106</v>
    <v>0.25680772436651106</v>
    <v>0</v>
  </rv>
  <rv s="1">
    <fb>19.940343783293354</fb>
    <v>&lt;class 'float'&gt;</v>
    <v>float</v>
    <v>19.940343783293354</v>
    <v>19.940343783293354</v>
    <v>0</v>
  </rv>
  <rv s="1">
    <fb>35.784023771038655</fb>
    <v>&lt;class 'float'&gt;</v>
    <v>float</v>
    <v>35.784023771038655</v>
    <v>35.784023771038655</v>
    <v>0</v>
  </rv>
  <rv s="1">
    <fb>0.24960286506984936</fb>
    <v>&lt;class 'float'&gt;</v>
    <v>float</v>
    <v>0.24960286506984936</v>
    <v>0.24960286506984936</v>
    <v>0</v>
  </rv>
  <rv s="1">
    <fb>19.940295783264805</fb>
    <v>&lt;class 'float'&gt;</v>
    <v>float</v>
    <v>19.940295783264805</v>
    <v>19.940295783264805</v>
    <v>0</v>
  </rv>
  <rv s="1">
    <fb>31.284680485777233</fb>
    <v>&lt;class 'float'&gt;</v>
    <v>float</v>
    <v>31.284680485777233</v>
    <v>31.284680485777233</v>
    <v>0</v>
  </rv>
  <rv s="1">
    <fb>0.24431853925875938</fb>
    <v>&lt;class 'float'&gt;</v>
    <v>float</v>
    <v>0.24431853925875938</v>
    <v>0.24431853925875938</v>
    <v>0</v>
  </rv>
  <rv s="1">
    <fb>19.940259527636908</fb>
    <v>&lt;class 'float'&gt;</v>
    <v>float</v>
    <v>19.940259527636908</v>
    <v>19.940259527636908</v>
    <v>0</v>
  </rv>
  <rv s="1">
    <fb>28.86432877333581</fb>
    <v>&lt;class 'float'&gt;</v>
    <v>float</v>
    <v>28.86432877333581</v>
    <v>28.86432877333581</v>
    <v>0</v>
  </rv>
  <rv s="1">
    <fb>0.2404428095892889</fb>
    <v>&lt;class 'float'&gt;</v>
    <v>float</v>
    <v>0.2404428095892889</v>
    <v>0.2404428095892889</v>
    <v>0</v>
  </rv>
  <rv s="1">
    <fb>19.940231885822641</fb>
    <v>&lt;class 'float'&gt;</v>
    <v>float</v>
    <v>19.94023188582264</v>
    <v>19.940231885822641</v>
    <v>0</v>
  </rv>
  <rv s="1">
    <fb>27.56233789767019</fb>
    <v>&lt;class 'float'&gt;</v>
    <v>float</v>
    <v>27.56233789767019</v>
    <v>27.56233789767019</v>
    <v>0</v>
  </rv>
  <rv s="1">
    <fb>0.23760020071937304</fb>
    <v>&lt;class 'float'&gt;</v>
    <v>float</v>
    <v>0.23760020071937304</v>
    <v>0.23760020071937304</v>
    <v>0</v>
  </rv>
  <rv s="1">
    <fb>19.94021056172415</fb>
    <v>&lt;class 'float'&gt;</v>
    <v>float</v>
    <v>19.94021056172415</v>
    <v>19.94021056172415</v>
    <v>0</v>
  </rv>
  <rv s="1">
    <fb>26.861951654551198</fb>
    <v>&lt;class 'float'&gt;</v>
    <v>float</v>
    <v>26.8619516545512</v>
    <v>26.861951654551198</v>
    <v>0</v>
  </rv>
  <rv s="1">
    <fb>0.2355153240020138</fb>
    <v>&lt;class 'float'&gt;</v>
    <v>float</v>
    <v>0.2355153240020138</v>
    <v>0.2355153240020138</v>
    <v>0</v>
  </rv>
  <rv s="1">
    <fb>19.94019387129136</fb>
    <v>&lt;class 'float'&gt;</v>
    <v>float</v>
    <v>19.94019387129136</v>
    <v>19.94019387129136</v>
    <v>0</v>
  </rv>
  <rv s="1">
    <fb>26.485189166842869</fb>
    <v>&lt;class 'float'&gt;</v>
    <v>float</v>
    <v>26.48518916684287</v>
    <v>26.485189166842869</v>
    <v>0</v>
  </rv>
  <rv s="1">
    <fb>0.23398619837907211</fb>
    <v>&lt;class 'float'&gt;</v>
    <v>float</v>
    <v>0.2339861983790721</v>
    <v>0.23398619837907211</v>
    <v>0</v>
  </rv>
  <rv s="1">
    <fb>19.940180579374523</fb>
    <v>&lt;class 'float'&gt;</v>
    <v>float</v>
    <v>19.940180579374523</v>
    <v>19.940180579374523</v>
    <v>0</v>
  </rv>
  <rv s="1">
    <fb>26.282514991291929</fb>
    <v>&lt;class 'float'&gt;</v>
    <v>float</v>
    <v>26.28251499129193</v>
    <v>26.282514991291929</v>
    <v>0</v>
  </rv>
  <rv s="1">
    <fb>0.23286468285674997</fb>
    <v>&lt;class 'float'&gt;</v>
    <v>float</v>
    <v>0.23286468285674997</v>
    <v>0.23286468285674997</v>
    <v>0</v>
  </rv>
  <rv s="1">
    <fb>19.940169780065371</fb>
    <v>&lt;class 'float'&gt;</v>
    <v>float</v>
    <v>19.94016978006537</v>
    <v>19.940169780065371</v>
    <v>0</v>
  </rv>
  <rv s="1">
    <fb>26.173488886759014</fb>
    <v>&lt;class 'float'&gt;</v>
    <v>float</v>
    <v>26.173488886759014</v>
    <v>26.173488886759014</v>
    <v>0</v>
  </rv>
  <rv s="1">
    <fb>0.23204212489977671</fb>
    <v>&lt;class 'float'&gt;</v>
    <v>float</v>
    <v>0.2320421248997767</v>
    <v>0.23204212489977671</v>
    <v>0</v>
  </rv>
  <rv s="1">
    <fb>19.940160808934515</fb>
    <v>&lt;class 'float'&gt;</v>
    <v>float</v>
    <v>19.940160808934515</v>
    <v>19.940160808934515</v>
    <v>0</v>
  </rv>
  <rv s="1">
    <fb>26.114839289969314</fb>
    <v>&lt;class 'float'&gt;</v>
    <v>float</v>
    <v>26.114839289969314</v>
    <v>26.114839289969314</v>
    <v>0</v>
  </rv>
  <rv s="1">
    <fb>0.23143883438917798</fb>
    <v>&lt;class 'float'&gt;</v>
    <v>float</v>
    <v>0.23143883438917798</v>
    <v>0.23143883438917798</v>
    <v>0</v>
  </rv>
  <rv s="1">
    <fb>19.94015317866284</fb>
    <v>&lt;class 'float'&gt;</v>
    <v>float</v>
    <v>19.94015317866284</v>
    <v>19.94015317866284</v>
    <v>0</v>
  </rv>
  <rv s="1">
    <fb>26.083288943648061</fb>
    <v>&lt;class 'float'&gt;</v>
    <v>float</v>
    <v>26.08328894364806</v>
    <v>26.083288943648061</v>
    <v>0</v>
  </rv>
  <rv s="1">
    <fb>0.23099636340152216</fb>
    <v>&lt;class 'float'&gt;</v>
    <v>float</v>
    <v>0.23099636340152216</v>
    <v>0.23099636340152216</v>
    <v>0</v>
  </rv>
  <rv s="1">
    <fb>19.940146531830997</fb>
    <v>&lt;class 'float'&gt;</v>
    <v>float</v>
    <v>19.940146531830997</v>
    <v>19.940146531830997</v>
    <v>0</v>
  </rv>
  <rv s="1">
    <fb>26.066316213141224</fb>
    <v>&lt;class 'float'&gt;</v>
    <v>float</v>
    <v>26.066316213141224</v>
    <v>26.066316213141224</v>
    <v>0</v>
  </rv>
  <rv s="1">
    <fb>0.2306718438899619</fb>
    <v>&lt;class 'float'&gt;</v>
    <v>float</v>
    <v>0.2306718438899619</v>
    <v>0.2306718438899619</v>
    <v>0</v>
  </rv>
  <rv s="1">
    <fb>19.940140606293333</fb>
    <v>&lt;class 'float'&gt;</v>
    <v>float</v>
    <v>19.940140606293333</v>
    <v>19.940140606293333</v>
    <v>0</v>
  </rv>
  <rv s="1">
    <fb>26.057185281915178</fb>
    <v>&lt;class 'float'&gt;</v>
    <v>float</v>
    <v>26.057185281915178</v>
    <v>26.057185281915178</v>
    <v>0</v>
  </rv>
  <rv s="1">
    <fb>0.23043383471283441</fb>
    <v>&lt;class 'float'&gt;</v>
    <v>float</v>
    <v>0.2304338347128344</v>
    <v>0.23043383471283441</v>
    <v>0</v>
  </rv>
  <rv s="1">
    <fb>19.940135209781729</fb>
    <v>&lt;class 'float'&gt;</v>
    <v>float</v>
    <v>19.94013520978173</v>
    <v>19.940135209781729</v>
    <v>0</v>
  </rv>
  <rv s="1">
    <fb>26.052272723346455</fb>
    <v>&lt;class 'float'&gt;</v>
    <v>float</v>
    <v>26.052272723346455</v>
    <v>26.052272723346455</v>
    <v>0</v>
  </rv>
  <rv s="1">
    <fb>0.23025927567818419</fb>
    <v>&lt;class 'float'&gt;</v>
    <v>float</v>
    <v>0.2302592756781842</v>
    <v>0.23025927567818419</v>
    <v>0</v>
  </rv>
  <rv s="1">
    <fb>19.94013020127905</fb>
    <v>&lt;class 'float'&gt;</v>
    <v>float</v>
    <v>19.94013020127905</v>
    <v>19.94013020127905</v>
    <v>0</v>
  </rv>
  <rv s="1">
    <fb>26.04962937203987</fb>
    <v>&lt;class 'float'&gt;</v>
    <v>float</v>
    <v>26.04962937203987</v>
    <v>26.04962937203987</v>
    <v>0</v>
  </rv>
  <rv s="1">
    <fb>0.23013125351807934</fb>
    <v>&lt;class 'float'&gt;</v>
    <v>float</v>
    <v>0.23013125351807934</v>
    <v>0.23013125351807934</v>
    <v>0</v>
  </rv>
  <rv s="1">
    <fb>19.940125477357682</fb>
    <v>&lt;class 'float'&gt;</v>
    <v>float</v>
    <v>19.940125477357682</v>
    <v>19.940125477357682</v>
    <v>0</v>
  </rv>
  <rv s="1">
    <fb>26.048206705110161</fb>
    <v>&lt;class 'float'&gt;</v>
    <v>float</v>
    <v>26.04820670511016</v>
    <v>26.048206705110161</v>
    <v>0</v>
  </rv>
  <rv s="1">
    <fb>0.23003736336474226</fb>
    <v>&lt;class 'float'&gt;</v>
    <v>float</v>
    <v>0.23003736336474226</v>
    <v>0.23003736336474226</v>
    <v>0</v>
  </rv>
  <rv s="1">
    <fb>19.940120962159675</fb>
    <v>&lt;class 'float'&gt;</v>
    <v>float</v>
    <v>19.940120962159675</v>
    <v>19.940120962159675</v>
    <v>0</v>
  </rv>
  <rv s="1">
    <fb>26.047440686153013</fb>
    <v>&lt;class 'float'&gt;</v>
    <v>float</v>
    <v>26.047440686153013</v>
    <v>26.047440686153013</v>
    <v>0</v>
  </rv>
  <rv s="1">
    <fb>0.22996850699154994</fb>
    <v>&lt;class 'float'&gt;</v>
    <v>float</v>
    <v>0.22996850699154994</v>
    <v>0.22996850699154994</v>
    <v>0</v>
  </rv>
  <rv s="1">
    <fb>19.940116600047769</fb>
    <v>&lt;class 'float'&gt;</v>
    <v>float</v>
    <v>19.94011660004777</v>
    <v>19.940116600047769</v>
    <v>0</v>
  </rv>
  <rv s="1">
    <fb>26.047027900650853</fb>
    <v>&lt;class 'float'&gt;</v>
    <v>float</v>
    <v>26.047027900650853</v>
    <v>26.047027900650853</v>
    <v>0</v>
  </rv>
  <rv s="1">
    <fb>0.22991801139487444</fb>
    <v>&lt;class 'float'&gt;</v>
    <v>float</v>
    <v>0.22991801139487444</v>
    <v>0.22991801139487444</v>
    <v>0</v>
  </rv>
  <rv s="1">
    <fb>19.940112350215372</fb>
    <v>&lt;class 'float'&gt;</v>
    <v>float</v>
    <v>19.940112350215372</v>
    <v>19.940112350215372</v>
    <v>0</v>
  </rv>
  <rv s="1">
    <fb>26.046805131533343</fb>
    <v>&lt;class 'float'&gt;</v>
    <v>float</v>
    <v>26.046805131533343</v>
    <v>26.046805131533343</v>
    <v>0</v>
  </rv>
  <rv s="1">
    <fb>0.22988098232671961</fb>
    <v>&lt;class 'float'&gt;</v>
    <v>float</v>
    <v>0.2298809823267196</v>
    <v>0.22988098232671961</v>
    <v>0</v>
  </rv>
  <rv s="1">
    <fb>19.940108182733297</fb>
    <v>&lt;class 'float'&gt;</v>
    <v>float</v>
    <v>19.940108182733297</v>
    <v>19.940108182733297</v>
    <v>0</v>
  </rv>
  <rv s="1">
    <fb>26.046684578743125</fb>
    <v>&lt;class 'float'&gt;</v>
    <v>float</v>
    <v>26.046684578743125</v>
    <v>26.046684578743125</v>
    <v>0</v>
  </rv>
  <rv s="1">
    <fb>0.22985383014967722</fb>
    <v>&lt;class 'float'&gt;</v>
    <v>float</v>
    <v>0.22985383014967722</v>
    <v>0.22985383014967722</v>
    <v>0</v>
  </rv>
  <rv s="1">
    <fb>19.940104075650279</fb>
    <v>&lt;class 'float'&gt;</v>
    <v>float</v>
    <v>19.94010407565028</v>
    <v>19.940104075650279</v>
    <v>0</v>
  </rv>
  <rv s="1">
    <fb>26.046619011619473</fb>
    <v>&lt;class 'float'&gt;</v>
    <v>float</v>
    <v>26.046619011619473</v>
    <v>26.046619011619473</v>
    <v>0</v>
  </rv>
  <rv s="1">
    <fb>0.2298339220799708</fb>
    <v>&lt;class 'float'&gt;</v>
    <v>float</v>
    <v>0.2298339220799708</v>
    <v>0.2298339220799708</v>
    <v>0</v>
  </rv>
  <rv s="1">
    <fb>19.940100012866377</fb>
    <v>&lt;class 'float'&gt;</v>
    <v>float</v>
    <v>19.940100012866377</v>
    <v>19.940100012866377</v>
    <v>0</v>
  </rv>
  <rv s="1">
    <fb>26.046583023170868</fb>
    <v>&lt;class 'float'&gt;</v>
    <v>float</v>
    <v>26.046583023170868</v>
    <v>26.046583023170868</v>
    <v>0</v>
  </rv>
  <rv s="1">
    <fb>0.22981932712858238</fb>
    <v>&lt;class 'float'&gt;</v>
    <v>float</v>
    <v>0.22981932712858238</v>
    <v>0.22981932712858238</v>
    <v>0</v>
  </rv>
  <rv s="1">
    <fb>19.940095982573258</fb>
    <v>&lt;class 'float'&gt;</v>
    <v>float</v>
    <v>19.940095982573258</v>
    <v>19.940095982573258</v>
    <v>0</v>
  </rv>
  <rv s="1">
    <fb>26.046562946105606</fb>
    <v>&lt;class 'float'&gt;</v>
    <v>float</v>
    <v>26.046562946105606</v>
    <v>26.046562946105606</v>
    <v>0</v>
  </rv>
  <rv s="1">
    <fb>0.22981825731881059</fb>
    <v>&lt;class 'float'&gt;</v>
    <v>float</v>
    <v>0.2298182573188106</v>
    <v>0.22981825731881059</v>
    <v>0</v>
  </rv>
  <rv s="1">
    <fb>19.940095581926954</fb>
    <v>&lt;class 'float'&gt;</v>
    <v>float</v>
    <v>19.940095581926954</v>
    <v>19.940095581926954</v>
    <v>0</v>
  </rv>
  <rv s="1">
    <fb>26.046561656418373</fb>
    <v>&lt;class 'float'&gt;</v>
    <v>float</v>
    <v>26.046561656418373</v>
    <v>26.046561656418373</v>
    <v>0</v>
  </rv>
  <rv s="1">
    <fb>0.22981721609012359</fb>
    <v>&lt;class 'float'&gt;</v>
    <v>float</v>
    <v>0.2298172160901236</v>
    <v>0.22981721609012359</v>
    <v>0</v>
  </rv>
  <rv s="1">
    <fb>19.94009518145543</fb>
    <v>&lt;class 'float'&gt;</v>
    <v>float</v>
    <v>19.94009518145543</v>
    <v>19.94009518145543</v>
    <v>0</v>
  </rv>
  <rv s="1">
    <fb>26.046560426400905</fb>
    <v>&lt;class 'float'&gt;</v>
    <v>float</v>
    <v>26.046560426400905</v>
    <v>26.046560426400905</v>
    <v>0</v>
  </rv>
  <rv s="1">
    <fb>0.22981620268066411</fb>
    <v>&lt;class 'float'&gt;</v>
    <v>float</v>
    <v>0.2298162026806641</v>
    <v>0.22981620268066411</v>
    <v>0</v>
  </rv>
  <rv s="1">
    <fb>19.940094781154027</fb>
    <v>&lt;class 'float'&gt;</v>
    <v>float</v>
    <v>19.940094781154027</v>
    <v>19.940094781154027</v>
    <v>0</v>
  </rv>
  <rv s="1">
    <fb>26.046559252914488</fb>
    <v>&lt;class 'float'&gt;</v>
    <v>float</v>
    <v>26.046559252914488</v>
    <v>26.046559252914488</v>
    <v>0</v>
  </rv>
  <rv s="1">
    <fb>0.22981521634888288</fb>
    <v>&lt;class 'float'&gt;</v>
    <v>float</v>
    <v>0.22981521634888288</v>
    <v>0.22981521634888288</v>
    <v>0</v>
  </rv>
  <rv s="1">
    <fb>19.940094381018209</fb>
    <v>&lt;class 'float'&gt;</v>
    <v>float</v>
    <v>19.94009438101821</v>
    <v>19.940094381018209</v>
    <v>0</v>
  </rv>
  <rv s="1">
    <fb>26.046558132985506</fb>
    <v>&lt;class 'float'&gt;</v>
    <v>float</v>
    <v>26.046558132985506</v>
    <v>26.046558132985506</v>
    <v>0</v>
  </rv>
  <rv s="1">
    <fb>0.22981425637299743</fb>
    <v>&lt;class 'float'&gt;</v>
    <v>float</v>
    <v>0.22981425637299743</v>
    <v>0.22981425637299743</v>
    <v>0</v>
  </rv>
  <rv s="1">
    <fb>19.940093981043564</fb>
    <v>&lt;class 'float'&gt;</v>
    <v>float</v>
    <v>19.940093981043564</v>
    <v>19.940093981043564</v>
    <v>0</v>
  </rv>
  <rv s="1">
    <fb>26.046557063796762</fb>
    <v>&lt;class 'float'&gt;</v>
    <v>float</v>
    <v>26.04655706379676</v>
    <v>26.046557063796762</v>
    <v>0</v>
  </rv>
  <rv s="1">
    <fb>0.22981332205046509</fb>
    <v>&lt;class 'float'&gt;</v>
    <v>float</v>
    <v>0.2298133220504651</v>
    <v>0.22981332205046509</v>
    <v>0</v>
  </rv>
  <rv s="1">
    <fb>19.940093581225796</fb>
    <v>&lt;class 'float'&gt;</v>
    <v>float</v>
    <v>19.940093581225796</v>
    <v>19.940093581225796</v>
    <v>0</v>
  </rv>
  <rv s="1">
    <fb>26.046556042679246</fb>
    <v>&lt;class 'float'&gt;</v>
    <v>float</v>
    <v>26.046556042679246</v>
    <v>26.046556042679246</v>
    <v>0</v>
  </rv>
  <rv s="1">
    <fb>0.22981241269747013</fb>
    <v>&lt;class 'float'&gt;</v>
    <v>float</v>
    <v>0.22981241269747013</v>
    <v>0.22981241269747013</v>
    <v>0</v>
  </rv>
  <rv s="1">
    <fb>19.940093181560719</fb>
    <v>&lt;class 'float'&gt;</v>
    <v>float</v>
    <v>19.94009318156072</v>
    <v>19.940093181560719</v>
    <v>0</v>
  </rv>
  <rv s="1">
    <fb>26.046555067104336</fb>
    <v>&lt;class 'float'&gt;</v>
    <v>float</v>
    <v>26.046555067104336</v>
    <v>26.046555067104336</v>
    <v>0</v>
  </rv>
  <rv s="1">
    <fb>0.22981152764842466</fb>
    <v>&lt;class 'float'&gt;</v>
    <v>float</v>
    <v>0.22981152764842466</v>
    <v>0.22981152764842466</v>
    <v>0</v>
  </rv>
  <rv s="1">
    <fb>19.940092782044267</fb>
    <v>&lt;class 'float'&gt;</v>
    <v>float</v>
    <v>19.940092782044267</v>
    <v>19.940092782044267</v>
    <v>0</v>
  </rv>
  <rv s="1">
    <fb>26.046554134676434</fb>
    <v>&lt;class 'float'&gt;</v>
    <v>float</v>
    <v>26.046554134676434</v>
    <v>26.046554134676434</v>
    <v>0</v>
  </rv>
  <rv s="1">
    <fb>0.22981066625548269</fb>
    <v>&lt;class 'float'&gt;</v>
    <v>float</v>
    <v>0.2298106662554827</v>
    <v>0.22981066625548269</v>
    <v>0</v>
  </rv>
  <rv s="1">
    <fb>19.940092382672479</fb>
    <v>&lt;class 'float'&gt;</v>
    <v>float</v>
    <v>19.94009238267248</v>
    <v>19.940092382672479</v>
    <v>0</v>
  </rv>
  <rv s="1">
    <fb>26.046553243125935</fb>
    <v>&lt;class 'float'&gt;</v>
    <v>float</v>
    <v>26.046553243125935</v>
    <v>26.046553243125935</v>
    <v>0</v>
  </rv>
  <rv s="1">
    <fb>0.22980982788806717</fb>
    <v>&lt;class 'float'&gt;</v>
    <v>float</v>
    <v>0.22980982788806717</v>
    <v>0.22980982788806717</v>
    <v>0</v>
  </rv>
  <rv s="1">
    <fb>19.940091983441498</fb>
    <v>&lt;class 'float'&gt;</v>
    <v>float</v>
    <v>19.940091983441498</v>
    <v>19.940091983441498</v>
    <v>0</v>
  </rv>
  <rv s="1">
    <fb>26.046552390302637</fb>
    <v>&lt;class 'float'&gt;</v>
    <v>float</v>
    <v>26.046552390302637</v>
    <v>26.046552390302637</v>
    <v>0</v>
  </rv>
  <rv s="1">
    <fb>0.22980901193240977</fb>
    <v>&lt;class 'float'&gt;</v>
    <v>float</v>
    <v>0.22980901193240977</v>
    <v>0.22980901193240977</v>
    <v>0</v>
  </rv>
  <rv s="1">
    <fb>19.94009158434757</fb>
    <v>&lt;class 'float'&gt;</v>
    <v>float</v>
    <v>19.94009158434757</v>
    <v>19.94009158434757</v>
    <v>0</v>
  </rv>
  <rv s="1">
    <fb>26.046551574169431</fb>
    <v>&lt;class 'float'&gt;</v>
    <v>float</v>
    <v>26.04655157416943</v>
    <v>26.046551574169431</v>
    <v>0</v>
  </rv>
  <rv s="1">
    <fb>0.22980821779110272</fb>
    <v>&lt;class 'float'&gt;</v>
    <v>float</v>
    <v>0.22980821779110272</v>
    <v>0.22980821779110272</v>
    <v>0</v>
  </rv>
  <rv s="1">
    <fb>19.94009118538704</fb>
    <v>&lt;class 'float'&gt;</v>
    <v>float</v>
    <v>19.94009118538704</v>
    <v>19.94009118538704</v>
    <v>0</v>
  </rv>
  <rv s="1">
    <fb>26.04655079279636</fb>
    <v>&lt;class 'float'&gt;</v>
    <v>float</v>
    <v>26.04655079279636</v>
    <v>26.04655079279636</v>
    <v>0</v>
  </rv>
  <rv s="1">
    <fb>0.2298074448826628</fb>
    <v>&lt;class 'float'&gt;</v>
    <v>float</v>
    <v>0.2298074448826628</v>
    <v>0.2298074448826628</v>
    <v>0</v>
  </rv>
  <rv s="1">
    <fb>19.940090786556354</fb>
    <v>&lt;class 'float'&gt;</v>
    <v>float</v>
    <v>19.940090786556354</v>
    <v>19.940090786556354</v>
    <v>0</v>
  </rv>
  <rv s="1">
    <fb>26.046550044354994</fb>
    <v>&lt;class 'float'&gt;</v>
    <v>float</v>
    <v>26.046550044354994</v>
    <v>26.046550044354994</v>
    <v>0</v>
  </rv>
  <rv s="1">
    <fb>0.22980669264110673</fb>
    <v>&lt;class 'float'&gt;</v>
    <v>float</v>
    <v>0.22980669264110673</v>
    <v>0.22980669264110673</v>
    <v>0</v>
  </rv>
  <rv s="1">
    <fb>19.940090387852052</fb>
    <v>&lt;class 'float'&gt;</v>
    <v>float</v>
    <v>19.940090387852052</v>
    <v>19.940090387852052</v>
    <v>0</v>
  </rv>
  <rv s="1">
    <fb>26.04654932711308</fb>
    <v>&lt;class 'float'&gt;</v>
    <v>float</v>
    <v>26.04654932711308</v>
    <v>26.04654932711308</v>
    <v>0</v>
  </rv>
  <rv s="1">
    <fb>0.22980596051553814</fb>
    <v>&lt;class 'float'&gt;</v>
    <v>float</v>
    <v>0.22980596051553814</v>
    <v>0.22980596051553814</v>
    <v>0</v>
  </rv>
  <rv s="1">
    <fb>19.940089989270763</fb>
    <v>&lt;class 'float'&gt;</v>
    <v>float</v>
    <v>19.940089989270763</v>
    <v>19.940089989270763</v>
    <v>0</v>
  </rv>
  <rv s="1">
    <fb>26.046548639429478</fb>
    <v>&lt;class 'float'&gt;</v>
    <v>float</v>
    <v>26.046548639429478</v>
    <v>26.046548639429478</v>
    <v>0</v>
  </rv>
  <rv s="1">
    <fb>0.22980524796974533</fb>
    <v>&lt;class 'float'&gt;</v>
    <v>float</v>
    <v>0.22980524796974533</v>
    <v>0.22980524796974533</v>
    <v>0</v>
  </rv>
  <rv s="1">
    <fb>19.940089590809212</fb>
    <v>&lt;class 'float'&gt;</v>
    <v>float</v>
    <v>19.94008959080921</v>
    <v>19.940089590809212</v>
    <v>0</v>
  </rv>
  <rv s="1">
    <fb>26.046547979749381</fb>
    <v>&lt;class 'float'&gt;</v>
    <v>float</v>
    <v>26.04654797974938</v>
    <v>26.046547979749381</v>
    <v>0</v>
  </rv>
  <rv s="1">
    <fb>0.22980455448180986</fb>
    <v>&lt;class 'float'&gt;</v>
    <v>float</v>
    <v>0.22980455448180986</v>
    <v>0.22980455448180986</v>
    <v>0</v>
  </rv>
  <rv s="1">
    <fb>19.940089192464203</fb>
    <v>&lt;class 'float'&gt;</v>
    <v>float</v>
    <v>19.940089192464203</v>
    <v>19.940089192464203</v>
    <v>0</v>
  </rv>
  <rv s="1">
    <fb>26.046547346599759</fb>
    <v>&lt;class 'float'&gt;</v>
    <v>float</v>
    <v>26.04654734659976</v>
    <v>26.046547346599759</v>
    <v>0</v>
  </rv>
  <rv s="1">
    <fb>0.22980387954372555</fb>
    <v>&lt;class 'float'&gt;</v>
    <v>float</v>
    <v>0.22980387954372555</v>
    <v>0.22980387954372555</v>
    <v>0</v>
  </rv>
  <rv s="1">
    <fb>19.940088794232629</fb>
    <v>&lt;class 'float'&gt;</v>
    <v>float</v>
    <v>19.94008879423263</v>
    <v>19.940088794232629</v>
    <v>0</v>
  </rv>
  <rv s="1">
    <fb>26.046546738585075</fb>
    <v>&lt;class 'float'&gt;</v>
    <v>float</v>
    <v>26.046546738585075</v>
    <v>26.046546738585075</v>
    <v>0</v>
  </rv>
  <rv s="1">
    <fb>0.22980322266102762</fb>
    <v>&lt;class 'float'&gt;</v>
    <v>float</v>
    <v>0.22980322266102762</v>
    <v>0.22980322266102762</v>
    <v>0</v>
  </rv>
  <rv s="1">
    <fb>19.94008839611147</fb>
    <v>&lt;class 'float'&gt;</v>
    <v>float</v>
    <v>19.94008839611147</v>
    <v>19.94008839611147</v>
    <v>0</v>
  </rv>
  <rv s="1">
    <fb>26.046546154383194</fb>
    <v>&lt;class 'float'&gt;</v>
    <v>float</v>
    <v>26.046546154383194</v>
    <v>26.046546154383194</v>
    <v>0</v>
  </rv>
  <rv s="1">
    <fb>0.22980258335243176</fb>
    <v>&lt;class 'float'&gt;</v>
    <v>float</v>
    <v>0.22980258335243176</v>
    <v>0.22980258335243176</v>
    <v>0</v>
  </rv>
  <rv s="1">
    <fb>19.940087998097781</fb>
    <v>&lt;class 'float'&gt;</v>
    <v>float</v>
    <v>19.94008799809778</v>
    <v>19.940087998097781</v>
    <v>0</v>
  </rv>
  <rv s="1">
    <fb>26.046545592741523</fb>
    <v>&lt;class 'float'&gt;</v>
    <v>float</v>
    <v>26.046545592741523</v>
    <v>26.046545592741523</v>
    <v>0</v>
  </rv>
  <rv s="1">
    <fb>0.22980196114948276</fb>
    <v>&lt;class 'float'&gt;</v>
    <v>float</v>
    <v>0.22980196114948276</v>
    <v>0.22980196114948276</v>
    <v>0</v>
  </rv>
  <rv s="1">
    <fb>19.940087600188697</fb>
    <v>&lt;class 'float'&gt;</v>
    <v>float</v>
    <v>19.940087600188697</v>
    <v>19.940087600188697</v>
    <v>0</v>
  </rv>
  <rv s="1">
    <fb>26.046545052473373</fb>
    <v>&lt;class 'float'&gt;</v>
    <v>float</v>
    <v>26.046545052473373</v>
    <v>26.046545052473373</v>
    <v>0</v>
  </rv>
  <rv s="1">
    <fb>0.22980135559621254</fb>
    <v>&lt;class 'float'&gt;</v>
    <v>float</v>
    <v>0.22980135559621254</v>
    <v>0.22980135559621254</v>
    <v>0</v>
  </rv>
  <rv s="1">
    <fb>19.940087202381431</fb>
    <v>&lt;class 'float'&gt;</v>
    <v>float</v>
    <v>19.94008720238143</v>
    <v>19.940087202381431</v>
    <v>0</v>
  </rv>
  <rv s="1">
    <fb>26.046544532454458</fb>
    <v>&lt;class 'float'&gt;</v>
    <v>float</v>
    <v>26.046544532454458</v>
    <v>26.046544532454458</v>
    <v>0</v>
  </rv>
  <rv s="1">
    <fb>0.22980076624880733</fb>
    <v>&lt;class 'float'&gt;</v>
    <v>float</v>
    <v>0.22980076624880733</v>
    <v>0.22980076624880733</v>
    <v>0</v>
  </rv>
  <rv s="1">
    <fb>19.940086804673268</fb>
    <v>&lt;class 'float'&gt;</v>
    <v>float</v>
    <v>19.940086804673268</v>
    <v>19.940086804673268</v>
    <v>0</v>
  </rv>
  <rv s="1">
    <fb>26.046544031619639</fb>
    <v>&lt;class 'float'&gt;</v>
    <v>float</v>
    <v>26.04654403161964</v>
    <v>26.046544031619639</v>
    <v>0</v>
  </rv>
  <rv s="1">
    <fb>0.22980019267528362</fb>
    <v>&lt;class 'float'&gt;</v>
    <v>float</v>
    <v>0.22980019267528362</v>
    <v>0.22980019267528362</v>
    <v>0</v>
  </rv>
  <rv s="1">
    <fb>19.940086407061564</fb>
    <v>&lt;class 'float'&gt;</v>
    <v>float</v>
    <v>19.940086407061564</v>
    <v>19.940086407061564</v>
    <v>0</v>
  </rv>
  <rv s="1">
    <fb>26.046543548959807</fb>
    <v>&lt;class 'float'&gt;</v>
    <v>float</v>
    <v>26.046543548959807</v>
    <v>26.046543548959807</v>
    <v>0</v>
  </rv>
  <rv s="1">
    <fb>0.2297996344551729</fb>
    <v>&lt;class 'float'&gt;</v>
    <v>float</v>
    <v>0.2297996344551729</v>
    <v>0.2297996344551729</v>
    <v>0</v>
  </rv>
  <rv s="1">
    <fb>19.940086009543752</fb>
    <v>&lt;class 'float'&gt;</v>
    <v>float</v>
    <v>19.94008600954375</v>
    <v>19.940086009543752</v>
    <v>0</v>
  </rv>
  <rv s="1">
    <fb>26.04654308351893</fb>
    <v>&lt;class 'float'&gt;</v>
    <v>float</v>
    <v>26.04654308351893</v>
    <v>26.04654308351893</v>
    <v>0</v>
  </rv>
  <rv s="1">
    <fb>0.22979909117921463</fb>
    <v>&lt;class 'float'&gt;</v>
    <v>float</v>
    <v>0.22979909117921463</v>
    <v>0.22979909117921463</v>
    <v>0</v>
  </rv>
  <rv s="1">
    <fb>19.940085612117326</fb>
    <v>&lt;class 'float'&gt;</v>
    <v>float</v>
    <v>19.940085612117326</v>
    <v>19.940085612117326</v>
    <v>0</v>
  </rv>
  <rv s="1">
    <fb>26.046542634391269</fb>
    <v>&lt;class 'float'&gt;</v>
    <v>float</v>
    <v>26.04654263439127</v>
    <v>26.046542634391269</v>
    <v>0</v>
  </rv>
  <rv s="1">
    <fb>0.22979856244905753</fb>
    <v>&lt;class 'float'&gt;</v>
    <v>float</v>
    <v>0.22979856244905753</v>
    <v>0.22979856244905753</v>
    <v>0</v>
  </rv>
  <rv s="1">
    <fb>19.940085214779852</fb>
    <v>&lt;class 'float'&gt;</v>
    <v>float</v>
    <v>19.940085214779852</v>
    <v>19.940085214779852</v>
    <v>0</v>
  </rv>
  <rv s="1">
    <fb>26.046542200718719</fb>
    <v>&lt;class 'float'&gt;</v>
    <v>float</v>
    <v>26.04654220071872</v>
    <v>26.046542200718719</v>
    <v>0</v>
  </rv>
  <rv s="1">
    <fb>0.22979804787696878</fb>
    <v>&lt;class 'float'&gt;</v>
    <v>float</v>
    <v>0.22979804787696878</v>
    <v>0.22979804787696878</v>
    <v>0</v>
  </rv>
  <rv s="1">
    <fb>19.940084817528959</fb>
    <v>&lt;class 'float'&gt;</v>
    <v>float</v>
    <v>19.94008481752896</v>
    <v>19.940084817528959</v>
    <v>0</v>
  </rv>
  <rv s="1">
    <fb>26.046541781688326</fb>
    <v>&lt;class 'float'&gt;</v>
    <v>float</v>
    <v>26.046541781688326</v>
    <v>26.046541781688326</v>
    <v>0</v>
  </rv>
  <rv s="1">
    <fb>0.22979754708555095</fb>
    <v>&lt;class 'float'&gt;</v>
    <v>float</v>
    <v>0.22979754708555095</v>
    <v>0.22979754708555095</v>
    <v>0</v>
  </rv>
  <rv s="1">
    <fb>19.940084420362336</fb>
    <v>&lt;class 'float'&gt;</v>
    <v>float</v>
    <v>19.940084420362336</v>
    <v>19.940084420362336</v>
    <v>0</v>
  </rv>
  <rv s="1">
    <fb>26.046541376529888</fb>
    <v>&lt;class 'float'&gt;</v>
    <v>float</v>
    <v>26.046541376529888</v>
    <v>26.046541376529888</v>
    <v>0</v>
  </rv>
  <rv s="1">
    <fb>0.22979705970746653</fb>
    <v>&lt;class 'float'&gt;</v>
    <v>float</v>
    <v>0.22979705970746653</v>
    <v>0.22979705970746653</v>
    <v>0</v>
  </rv>
  <rv s="1">
    <fb>19.940084023277741</fb>
    <v>&lt;class 'float'&gt;</v>
    <v>float</v>
    <v>19.94008402327774</v>
    <v>19.940084023277741</v>
    <v>0</v>
  </rv>
  <rv s="1">
    <fb>26.046540984513719</fb>
    <v>&lt;class 'float'&gt;</v>
    <v>float</v>
    <v>26.04654098451372</v>
    <v>26.046540984513719</v>
    <v>0</v>
  </rv>
  <rv s="1">
    <fb>0.22979658538516973</fb>
    <v>&lt;class 'float'&gt;</v>
    <v>float</v>
    <v>0.22979658538516973</v>
    <v>0.22979658538516973</v>
    <v>0</v>
  </rv>
  <rv s="1">
    <fb>19.940083626272987</fb>
    <v>&lt;class 'float'&gt;</v>
    <v>float</v>
    <v>19.940083626272987</v>
    <v>19.940083626272987</v>
    <v>0</v>
  </rv>
  <rv s="1">
    <fb>26.046540604948518</fb>
    <v>&lt;class 'float'&gt;</v>
    <v>float</v>
    <v>26.046540604948518</v>
    <v>26.046540604948518</v>
    <v>0</v>
  </rv>
  <rv s="1">
    <fb>0.22979612377064554</fb>
    <v>&lt;class 'float'&gt;</v>
    <v>float</v>
    <v>0.22979612377064554</v>
    <v>0.22979612377064554</v>
    <v>0</v>
  </rv>
  <rv s="1">
    <fb>19.940083229345944</fb>
    <v>&lt;class 'float'&gt;</v>
    <v>float</v>
    <v>19.940083229345944</v>
    <v>19.940083229345944</v>
    <v>0</v>
  </rv>
  <rv s="1">
    <fb>26.046540237179343</fb>
    <v>&lt;class 'float'&gt;</v>
    <v>float</v>
    <v>26.046540237179343</v>
    <v>26.046540237179343</v>
    <v>0</v>
  </rv>
  <rv s="1">
    <fb>0.22979567452515559</fb>
    <v>&lt;class 'float'&gt;</v>
    <v>float</v>
    <v>0.2297956745251556</v>
    <v>0.22979567452515559</v>
    <v>0</v>
  </rv>
  <rv s="1">
    <fb>19.940082832494539</fb>
    <v>&lt;class 'float'&gt;</v>
    <v>float</v>
    <v>19.94008283249454</v>
    <v>19.940082832494539</v>
    <v>0</v>
  </rv>
  <rv s="1">
    <fb>26.046539880585712</fb>
    <v>&lt;class 'float'&gt;</v>
    <v>float</v>
    <v>26.046539880585712</v>
    <v>26.046539880585712</v>
    <v>0</v>
  </rv>
  <rv s="1">
    <fb>0.22979523731899096</fb>
    <v>&lt;class 'float'&gt;</v>
    <v>float</v>
    <v>0.22979523731899096</v>
    <v>0.22979523731899096</v>
    <v>0</v>
  </rv>
  <rv s="1">
    <fb>19.940082435716761</fb>
    <v>&lt;class 'float'&gt;</v>
    <v>float</v>
    <v>19.94008243571676</v>
    <v>19.940082435716761</v>
    <v>0</v>
  </rv>
  <rv s="1">
    <fb>26.046539534579772</fb>
    <v>&lt;class 'float'&gt;</v>
    <v>float</v>
    <v>26.04653953457977</v>
    <v>26.046539534579772</v>
    <v>0</v>
  </rv>
  <rv s="1">
    <fb>0.22979481183123143</fb>
    <v>&lt;class 'float'&gt;</v>
    <v>float</v>
    <v>0.22979481183123143</v>
    <v>0.22979481183123143</v>
    <v>0</v>
  </rv>
  <rv s="1">
    <fb>19.94008203901064</fb>
    <v>&lt;class 'float'&gt;</v>
    <v>float</v>
    <v>19.94008203901064</v>
    <v>19.94008203901064</v>
    <v>0</v>
  </rv>
  <rv s="1">
    <fb>26.046539198604595</fb>
    <v>&lt;class 'float'&gt;</v>
    <v>float</v>
    <v>26.046539198604595</v>
    <v>26.046539198604595</v>
    <v>0</v>
  </rv>
  <rv s="1">
    <fb>0.22979439774951121</fb>
    <v>&lt;class 'float'&gt;</v>
    <v>float</v>
    <v>0.22979439774951121</v>
    <v>0.22979439774951121</v>
    <v>0</v>
  </rv>
  <rv s="1">
    <fb>19.940081642374274</fb>
    <v>&lt;class 'float'&gt;</v>
    <v>float</v>
    <v>19.940081642374274</v>
    <v>19.940081642374274</v>
    <v>0</v>
  </rv>
  <rv s="1">
    <fb>26.046538872132547</fb>
    <v>&lt;class 'float'&gt;</v>
    <v>float</v>
    <v>26.046538872132547</v>
    <v>26.046538872132547</v>
    <v>0</v>
  </rv>
  <rv s="1">
    <fb>0.22979399476979098</fb>
    <v>&lt;class 'float'&gt;</v>
    <v>float</v>
    <v>0.22979399476979098</v>
    <v>0.22979399476979098</v>
    <v>0</v>
  </rv>
  <rv s="1">
    <fb>19.9400812458058</fb>
    <v>&lt;class 'float'&gt;</v>
    <v>float</v>
    <v>19.9400812458058</v>
    <v>19.9400812458058</v>
    <v>0</v>
  </rv>
  <rv s="1">
    <fb>26.046538554663751</fb>
    <v>&lt;class 'float'&gt;</v>
    <v>float</v>
    <v>26.04653855466375</v>
    <v>26.046538554663751</v>
    <v>0</v>
  </rv>
  <rv s="1">
    <fb>0.22979360259613585</fb>
    <v>&lt;class 'float'&gt;</v>
    <v>float</v>
    <v>0.22979360259613585</v>
    <v>0.22979360259613585</v>
    <v>0</v>
  </rv>
  <rv s="1">
    <fb>19.940080849303406</fb>
    <v>&lt;class 'float'&gt;</v>
    <v>float</v>
    <v>19.940080849303406</v>
    <v>19.940080849303406</v>
    <v>0</v>
  </rv>
  <rv s="1">
    <fb>26.046538245724626</fb>
    <v>&lt;class 'float'&gt;</v>
    <v>float</v>
    <v>26.046538245724626</v>
    <v>26.046538245724626</v>
    <v>0</v>
  </rv>
  <rv s="1">
    <fb>0.22979322094049939</fb>
    <v>&lt;class 'float'&gt;</v>
    <v>float</v>
    <v>0.2297932209404994</v>
    <v>0.22979322094049939</v>
    <v>0</v>
  </rv>
  <rv s="1">
    <fb>19.940080452865335</fb>
    <v>&lt;class 'float'&gt;</v>
    <v>float</v>
    <v>19.940080452865335</v>
    <v>19.940080452865335</v>
    <v>0</v>
  </rv>
  <rv s="1">
    <fb>26.046537944866493</fb>
    <v>&lt;class 'float'&gt;</v>
    <v>float</v>
    <v>26.046537944866493</v>
    <v>26.046537944866493</v>
    <v>0</v>
  </rv>
  <rv s="1">
    <fb>0.22979284952251333</fb>
    <v>&lt;class 'float'&gt;</v>
    <v>float</v>
    <v>0.22979284952251333</v>
    <v>0.22979284952251333</v>
    <v>0</v>
  </rv>
  <rv s="1">
    <fb>19.940080056489869</fb>
    <v>&lt;class 'float'&gt;</v>
    <v>float</v>
    <v>19.94008005648987</v>
    <v>19.940080056489869</v>
    <v>0</v>
  </rv>
  <rv s="1">
    <fb>26.046537651664284</fb>
    <v>&lt;class 'float'&gt;</v>
    <v>float</v>
    <v>26.046537651664284</v>
    <v>26.046537651664284</v>
    <v>0</v>
  </rv>
  <rv s="1">
    <fb>0.2297924880692829</fb>
    <v>&lt;class 'float'&gt;</v>
    <v>float</v>
    <v>0.2297924880692829</v>
    <v>0.2297924880692829</v>
    <v>0</v>
  </rv>
  <rv s="1">
    <fb>19.940079660175339</fb>
    <v>&lt;class 'float'&gt;</v>
    <v>float</v>
    <v>19.94007966017534</v>
    <v>19.940079660175339</v>
    <v>0</v>
  </rv>
  <rv s="1">
    <fb>26.046537365715288</fb>
    <v>&lt;class 'float'&gt;</v>
    <v>float</v>
    <v>26.046537365715288</v>
    <v>26.046537365715288</v>
    <v>0</v>
  </rv>
  <rv s="1">
    <fb>0.22979213631518758</fb>
    <v>&lt;class 'float'&gt;</v>
    <v>float</v>
    <v>0.22979213631518758</v>
    <v>0.22979213631518758</v>
    <v>0</v>
  </rv>
  <rv s="1">
    <fb>19.940079263920122</fb>
    <v>&lt;class 'float'&gt;</v>
    <v>float</v>
    <v>19.940079263920122</v>
    <v>19.940079263920122</v>
    <v>0</v>
  </rv>
  <rv s="1">
    <fb>26.046537086637969</fb>
    <v>&lt;class 'float'&gt;</v>
    <v>float</v>
    <v>26.04653708663797</v>
    <v>26.046537086637969</v>
    <v>0</v>
  </rv>
  <rv s="1">
    <fb>0.22979179400168728</fb>
    <v>&lt;class 'float'&gt;</v>
    <v>float</v>
    <v>0.22979179400168728</v>
    <v>0.22979179400168728</v>
    <v>0</v>
  </rv>
  <rv s="1">
    <fb>19.94007886772264</fb>
    <v>&lt;class 'float'&gt;</v>
    <v>float</v>
    <v>19.94007886772264</v>
    <v>19.94007886772264</v>
    <v>0</v>
  </rv>
  <rv s="1">
    <fb>26.046536814070873</fb>
    <v>&lt;class 'float'&gt;</v>
    <v>float</v>
    <v>26.046536814070873</v>
    <v>26.046536814070873</v>
    <v>0</v>
  </rv>
  <rv s="1">
    <fb>0.22979146087713351</fb>
    <v>&lt;class 'float'&gt;</v>
    <v>float</v>
    <v>0.2297914608771335</v>
    <v>0.22979146087713351</v>
    <v>0</v>
  </rv>
  <rv s="1">
    <fb>19.940078471581351</fb>
    <v>&lt;class 'float'&gt;</v>
    <v>float</v>
    <v>19.94007847158135</v>
    <v>19.940078471581351</v>
    <v>0</v>
  </rv>
  <rv s="1">
    <fb>26.04653654767155</fb>
    <v>&lt;class 'float'&gt;</v>
    <v>float</v>
    <v>26.04653654767155</v>
    <v>26.04653654767155</v>
    <v>0</v>
  </rv>
  <rv s="1">
    <fb>0.22979113669658574</fb>
    <v>&lt;class 'float'&gt;</v>
    <v>float</v>
    <v>0.22979113669658574</v>
    <v>0.22979113669658574</v>
    <v>0</v>
  </rv>
  <rv s="1">
    <fb>19.940078075494757</fb>
    <v>&lt;class 'float'&gt;</v>
    <v>float</v>
    <v>19.940078075494757</v>
    <v>19.940078075494757</v>
    <v>0</v>
  </rv>
  <rv s="1">
    <fb>26.046536287115568</fb>
    <v>&lt;class 'float'&gt;</v>
    <v>float</v>
    <v>26.04653628711557</v>
    <v>26.046536287115568</v>
    <v>0</v>
  </rv>
  <rv s="1">
    <fb>0.22979082122163261</fb>
    <v>&lt;class 'float'&gt;</v>
    <v>float</v>
    <v>0.2297908212216326</v>
    <v>0.22979082122163261</v>
    <v>0</v>
  </rv>
  <rv s="1">
    <fb>19.9400776794614</fb>
    <v>&lt;class 'float'&gt;</v>
    <v>float</v>
    <v>19.9400776794614</v>
    <v>19.9400776794614</v>
    <v>0</v>
  </rv>
  <rv s="1">
    <fb>26.04653603209556</fb>
    <v>&lt;class 'float'&gt;</v>
    <v>float</v>
    <v>26.04653603209556</v>
    <v>26.04653603209556</v>
    <v>0</v>
  </rv>
  <rv s="1">
    <fb>0.22979051422021779</fb>
    <v>&lt;class 'float'&gt;</v>
    <v>float</v>
    <v>0.2297905142202178</v>
    <v>0.22979051422021779</v>
    <v>0</v>
  </rv>
  <rv s="1">
    <fb>19.940077283479862</fb>
    <v>&lt;class 'float'&gt;</v>
    <v>float</v>
    <v>19.940077283479862</v>
    <v>19.940077283479862</v>
    <v>0</v>
  </rv>
  <rv s="1">
    <fb>26.046535782320319</fb>
    <v>&lt;class 'float'&gt;</v>
    <v>float</v>
    <v>26.04653578232032</v>
    <v>26.046535782320319</v>
    <v>0</v>
  </rv>
  <rv s="1">
    <fb>0.22979021546647066</fb>
    <v>&lt;class 'float'&gt;</v>
    <v>float</v>
    <v>0.22979021546647066</v>
    <v>0.22979021546647066</v>
    <v>0</v>
  </rv>
  <rv s="1">
    <fb>19.940076887548759</fb>
    <v>&lt;class 'float'&gt;</v>
    <v>float</v>
    <v>19.94007688754876</v>
    <v>19.940076887548759</v>
    <v>0</v>
  </rv>
  <rv s="1">
    <fb>26.046535537513972</fb>
    <v>&lt;class 'float'&gt;</v>
    <v>float</v>
    <v>26.04653553751397</v>
    <v>26.046535537513972</v>
    <v>0</v>
  </rv>
  <rv s="1">
    <fb>0.22978992474054144</fb>
    <v>&lt;class 'float'&gt;</v>
    <v>float</v>
    <v>0.22978992474054144</v>
    <v>0.22978992474054144</v>
    <v>0</v>
  </rv>
  <rv s="1">
    <fb>19.940076491666751</fb>
    <v>&lt;class 'float'&gt;</v>
    <v>float</v>
    <v>19.94007649166675</v>
    <v>19.940076491666751</v>
    <v>0</v>
  </rv>
  <rv s="1">
    <fb>26.04653529741514</fb>
    <v>&lt;class 'float'&gt;</v>
    <v>float</v>
    <v>26.04653529741514</v>
    <v>26.04653529741514</v>
    <v>0</v>
  </rv>
  <rv s="1">
    <fb>0.22978964182844064</fb>
    <v>&lt;class 'float'&gt;</v>
    <v>float</v>
    <v>0.22978964182844064</v>
    <v>0.22978964182844064</v>
    <v>0</v>
  </rv>
  <rv s="1">
    <fb>19.940076095832527</fb>
    <v>&lt;class 'float'&gt;</v>
    <v>float</v>
    <v>19.940076095832527</v>
    <v>19.940076095832527</v>
    <v>0</v>
  </rv>
  <rv s="1">
    <fb>26.046535061776204</fb>
    <v>&lt;class 'float'&gt;</v>
    <v>float</v>
    <v>26.046535061776204</v>
    <v>26.046535061776204</v>
    <v>0</v>
  </rv>
  <rv s="1">
    <fb>0.22978936652188284</fb>
    <v>&lt;class 'float'&gt;</v>
    <v>float</v>
    <v>0.22978936652188284</v>
    <v>0.22978936652188284</v>
    <v>0</v>
  </rv>
  <rv s="1">
    <fb>19.940075700044812</fb>
    <v>&lt;class 'float'&gt;</v>
    <v>float</v>
    <v>19.94007570004481</v>
    <v>19.940075700044812</v>
    <v>0</v>
  </rv>
  <rv s="1">
    <fb>26.046534830362567</fb>
    <v>&lt;class 'float'&gt;</v>
    <v>float</v>
    <v>26.046534830362567</v>
    <v>26.046534830362567</v>
    <v>0</v>
  </rv>
  <rv s="1">
    <fb>0.22978909861813474</fb>
    <v>&lt;class 'float'&gt;</v>
    <v>float</v>
    <v>0.22978909861813474</v>
    <v>0.22978909861813474</v>
    <v>0</v>
  </rv>
  <rv s="1">
    <fb>19.940075304302368</fb>
    <v>&lt;class 'float'&gt;</v>
    <v>float</v>
    <v>19.94007530430237</v>
    <v>19.940075304302368</v>
    <v>0</v>
  </rv>
  <rv s="1">
    <fb>26.046534602951976</fb>
    <v>&lt;class 'float'&gt;</v>
    <v>float</v>
    <v>26.046534602951976</v>
    <v>26.046534602951976</v>
    <v>0</v>
  </rv>
  <rv s="1">
    <fb>0.22978883791986707</fb>
    <v>&lt;class 'float'&gt;</v>
    <v>float</v>
    <v>0.22978883791986707</v>
    <v>0.22978883791986707</v>
    <v>0</v>
  </rv>
  <rv s="1">
    <fb>19.940074908603989</fb>
    <v>&lt;class 'float'&gt;</v>
    <v>float</v>
    <v>19.94007490860399</v>
    <v>19.940074908603989</v>
    <v>0</v>
  </rv>
  <rv s="1">
    <fb>26.04653437933386</fb>
    <v>&lt;class 'float'&gt;</v>
    <v>float</v>
    <v>26.04653437933386</v>
    <v>26.04653437933386</v>
    <v>0</v>
  </rv>
  <rv s="1">
    <fb>0.22978858423501056</fb>
    <v>&lt;class 'float'&gt;</v>
    <v>float</v>
    <v>0.22978858423501056</v>
    <v>0.22978858423501056</v>
    <v>0</v>
  </rv>
  <rv s="1">
    <fb>19.940074512948499</fb>
    <v>&lt;class 'float'&gt;</v>
    <v>float</v>
    <v>19.9400745129485</v>
    <v>19.940074512948499</v>
    <v>0</v>
  </rv>
  <rv s="1">
    <fb>26.046534159308731</fb>
    <v>&lt;class 'float'&gt;</v>
    <v>float</v>
    <v>26.04653415930873</v>
    <v>26.046534159308731</v>
    <v>0</v>
  </rv>
  <rv s="1">
    <fb>0.22978833737661575</fb>
    <v>&lt;class 'float'&gt;</v>
    <v>float</v>
    <v>0.22978833737661575</v>
    <v>0.22978833737661575</v>
    <v>0</v>
  </rv>
  <rv s="1">
    <fb>19.940074117334756</fb>
    <v>&lt;class 'float'&gt;</v>
    <v>float</v>
    <v>19.940074117334756</v>
    <v>19.940074117334756</v>
    <v>0</v>
  </rv>
  <rv s="1">
    <fb>26.046533942687592</fb>
    <v>&lt;class 'float'&gt;</v>
    <v>float</v>
    <v>26.046533942687592</v>
    <v>26.046533942687592</v>
    <v>0</v>
  </rv>
  <rv s="1">
    <fb>0.22978809716271648</fb>
    <v>&lt;class 'float'&gt;</v>
    <v>float</v>
    <v>0.22978809716271648</v>
    <v>0.22978809716271648</v>
    <v>0</v>
  </rv>
  <rv s="1">
    <fb>19.940073721761646</fb>
    <v>&lt;class 'float'&gt;</v>
    <v>float</v>
    <v>19.940073721761646</v>
    <v>19.940073721761646</v>
    <v>0</v>
  </rv>
  <rv s="1">
    <fb>26.04653372929139</fb>
    <v>&lt;class 'float'&gt;</v>
    <v>float</v>
    <v>26.04653372929139</v>
    <v>26.04653372929139</v>
    <v>0</v>
  </rv>
  <rv s="1">
    <fb>0.22978786341619711</fb>
    <v>&lt;class 'float'&gt;</v>
    <v>float</v>
    <v>0.2297878634161971</v>
    <v>0.22978786341619711</v>
    <v>0</v>
  </rv>
  <rv s="1">
    <fb>19.940073326228088</fb>
    <v>&lt;class 'float'&gt;</v>
    <v>float</v>
    <v>19.940073326228088</v>
    <v>19.940073326228088</v>
    <v>0</v>
  </rv>
  <rv s="1">
    <fb>26.046533518950486</fb>
    <v>&lt;class 'float'&gt;</v>
    <v>float</v>
    <v>26.046533518950486</v>
    <v>26.046533518950486</v>
    <v>0</v>
  </rv>
  <rv s="1">
    <fb>0.2297876359646632</fb>
    <v>&lt;class 'float'&gt;</v>
    <v>float</v>
    <v>0.2297876359646632</v>
    <v>0.2297876359646632</v>
    <v>0</v>
  </rv>
  <rv s="1">
    <fb>19.940072930733024</fb>
    <v>&lt;class 'float'&gt;</v>
    <v>float</v>
    <v>19.940072930733024</v>
    <v>19.940072930733024</v>
    <v>0</v>
  </rv>
  <rv s="1">
    <fb>26.04653331150417</fb>
    <v>&lt;class 'float'&gt;</v>
    <v>float</v>
    <v>26.04653331150417</v>
    <v>26.04653331150417</v>
    <v>0</v>
  </rv>
  <rv s="1">
    <fb>0.22978741464031563</fb>
    <v>&lt;class 'float'&gt;</v>
    <v>float</v>
    <v>0.22978741464031563</v>
    <v>0.22978741464031563</v>
    <v>0</v>
  </rv>
  <rv s="1">
    <fb>19.94007253527543</fb>
    <v>&lt;class 'float'&gt;</v>
    <v>float</v>
    <v>19.94007253527543</v>
    <v>19.94007253527543</v>
    <v>0</v>
  </rv>
  <rv s="1">
    <fb>26.04653310680018</fb>
    <v>&lt;class 'float'&gt;</v>
    <v>float</v>
    <v>26.04653310680018</v>
    <v>26.04653310680018</v>
    <v>0</v>
  </rv>
  <rv s="1">
    <fb>0.22978719927982813</fb>
    <v>&lt;class 'float'&gt;</v>
    <v>float</v>
    <v>0.22978719927982813</v>
    <v>0.22978719927982813</v>
    <v>0</v>
  </rv>
  <rv s="1">
    <fb>19.940072139854308</fb>
    <v>&lt;class 'float'&gt;</v>
    <v>float</v>
    <v>19.94007213985431</v>
    <v>19.940072139854308</v>
    <v>0</v>
  </rv>
  <rv s="1">
    <fb>26.046532904694267</fb>
    <v>&lt;class 'float'&gt;</v>
    <v>float</v>
    <v>26.046532904694267</v>
    <v>26.046532904694267</v>
    <v>0</v>
  </rv>
  <rv s="1">
    <fb>0.22978698972422806</fb>
    <v>&lt;class 'float'&gt;</v>
    <v>float</v>
    <v>0.22978698972422806</v>
    <v>0.22978698972422806</v>
    <v>0</v>
  </rv>
  <rv s="1">
    <fb>19.940071744468685</fb>
    <v>&lt;class 'float'&gt;</v>
    <v>float</v>
    <v>19.940071744468685</v>
    <v>19.940071744468685</v>
    <v>0</v>
  </rv>
  <rv s="1">
    <fb>26.046532705049767</fb>
    <v>&lt;class 'float'&gt;</v>
    <v>float</v>
    <v>26.046532705049767</v>
    <v>26.046532705049767</v>
    <v>0</v>
  </rv>
  <rv s="1">
    <fb>0.22978678581878037</fb>
    <v>&lt;class 'float'&gt;</v>
    <v>float</v>
    <v>0.22978678581878037</v>
    <v>0.22978678581878037</v>
    <v>0</v>
  </rv>
  <rv s="1">
    <fb>19.940071349117616</fb>
    <v>&lt;class 'float'&gt;</v>
    <v>float</v>
    <v>19.940071349117616</v>
    <v>19.940071349117616</v>
    <v>0</v>
  </rv>
  <rv s="1">
    <fb>26.046532507737211</fb>
    <v>&lt;class 'float'&gt;</v>
    <v>float</v>
    <v>26.04653250773721</v>
    <v>26.046532507737211</v>
    <v>0</v>
  </rv>
  <rv s="1">
    <fb>0.22978658741287461</fb>
    <v>&lt;class 'float'&gt;</v>
    <v>float</v>
    <v>0.2297865874128746</v>
    <v>0.22978658741287461</v>
    <v>0</v>
  </rv>
  <rv s="1">
    <fb>19.940070953800177</fb>
    <v>&lt;class 'float'&gt;</v>
    <v>float</v>
    <v>19.940070953800177</v>
    <v>19.940070953800177</v>
    <v>0</v>
  </rv>
  <rv s="1">
    <fb>26.046532312633929</fb>
    <v>&lt;class 'float'&gt;</v>
    <v>float</v>
    <v>26.04653231263393</v>
    <v>26.046532312633929</v>
    <v>0</v>
  </rv>
  <rv s="1">
    <fb>0.22978639435991502</fb>
    <v>&lt;class 'float'&gt;</v>
    <v>float</v>
    <v>0.22978639435991502</v>
    <v>0.22978639435991502</v>
    <v>0</v>
  </rv>
  <rv s="1">
    <fb>19.940070558515476</fb>
    <v>&lt;class 'float'&gt;</v>
    <v>float</v>
    <v>19.940070558515476</v>
    <v>19.940070558515476</v>
    <v>0</v>
  </rv>
  <rv s="1">
    <fb>26.046532119623713</fb>
    <v>&lt;class 'float'&gt;</v>
    <v>float</v>
    <v>26.046532119623713</v>
    <v>26.046532119623713</v>
    <v>0</v>
  </rv>
  <rv s="1">
    <fb>0.22978620651721346</fb>
    <v>&lt;class 'float'&gt;</v>
    <v>float</v>
    <v>0.22978620651721346</v>
    <v>0.22978620651721346</v>
    <v>0</v>
  </rv>
  <rv s="1">
    <fb>19.940070163262636</fb>
    <v>&lt;class 'float'&gt;</v>
    <v>float</v>
    <v>19.940070163262636</v>
    <v>19.940070163262636</v>
    <v>0</v>
  </rv>
  <rv s="1">
    <fb>26.046531928596465</fb>
    <v>&lt;class 'float'&gt;</v>
    <v>float</v>
    <v>26.046531928596465</v>
    <v>26.046531928596465</v>
    <v>0</v>
  </rv>
  <rv s="1">
    <fb>0.22978602374588533</fb>
    <v>&lt;class 'float'&gt;</v>
    <v>float</v>
    <v>0.22978602374588533</v>
    <v>0.22978602374588533</v>
    <v>0</v>
  </rv>
  <rv s="1">
    <fb>19.940069768040811</fb>
    <v>&lt;class 'float'&gt;</v>
    <v>float</v>
    <v>19.94006976804081</v>
    <v>19.940069768040811</v>
    <v>0</v>
  </rv>
  <rv s="1">
    <fb>26.046531739447875</fb>
    <v>&lt;class 'float'&gt;</v>
    <v>float</v>
    <v>26.046531739447875</v>
    <v>26.046531739447875</v>
    <v>0</v>
  </rv>
  <rv s="1">
    <fb>0.2297858459107481</fb>
    <v>&lt;class 'float'&gt;</v>
    <v>float</v>
    <v>0.2297858459107481</v>
    <v>0.2297858459107481</v>
    <v>0</v>
  </rv>
  <rv s="1">
    <fb>19.940069372849173</fb>
    <v>&lt;class 'float'&gt;</v>
    <v>float</v>
    <v>19.940069372849173</v>
    <v>19.940069372849173</v>
    <v>0</v>
  </rv>
  <rv s="1">
    <fb>26.046531552079131</fb>
    <v>&lt;class 'float'&gt;</v>
    <v>float</v>
    <v>26.04653155207913</v>
    <v>26.046531552079131</v>
    <v>0</v>
  </rv>
  <rv s="1">
    <fb>0.2297856728802227</fb>
    <v>&lt;class 'float'&gt;</v>
    <v>float</v>
    <v>0.2297856728802227</v>
    <v>0.2297856728802227</v>
    <v>0</v>
  </rv>
  <rv s="1">
    <fb>19.940068977686916</fb>
    <v>&lt;class 'float'&gt;</v>
    <v>float</v>
    <v>19.940068977686916</v>
    <v>19.940068977686916</v>
    <v>0</v>
  </rv>
  <rv s="1">
    <fb>26.0465313663966</fb>
    <v>&lt;class 'float'&gt;</v>
    <v>float</v>
    <v>26.0465313663966</v>
    <v>26.0465313663966</v>
    <v>0</v>
  </rv>
  <rv s="1">
    <fb>0.22978550452623739</fb>
    <v>&lt;class 'float'&gt;</v>
    <v>float</v>
    <v>0.2297855045262374</v>
    <v>0.22978550452623739</v>
    <v>0</v>
  </rv>
  <rv s="1">
    <fb>19.940068582553259</fb>
    <v>&lt;class 'float'&gt;</v>
    <v>float</v>
    <v>19.94006858255326</v>
    <v>19.940068582553259</v>
    <v>0</v>
  </rv>
  <rv s="1">
    <fb>26.046531182311593</fb>
    <v>&lt;class 'float'&gt;</v>
    <v>float</v>
    <v>26.046531182311593</v>
    <v>26.046531182311593</v>
    <v>0</v>
  </rv>
  <rv s="1">
    <fb>0.22978534072413434</fb>
    <v>&lt;class 'float'&gt;</v>
    <v>float</v>
    <v>0.22978534072413434</v>
    <v>0.22978534072413434</v>
    <v>0</v>
  </rv>
  <rv s="1">
    <fb>19.940068187447437</fb>
    <v>&lt;class 'float'&gt;</v>
    <v>float</v>
    <v>19.940068187447437</v>
    <v>19.940068187447437</v>
    <v>0</v>
  </rv>
  <rv s="1">
    <fb>26.046530999740074</fb>
    <v>&lt;class 'float'&gt;</v>
    <v>float</v>
    <v>26.046530999740074</v>
    <v>26.046530999740074</v>
    <v>0</v>
  </rv>
  <rv s="1">
    <fb>0.22978518135257861</fb>
    <v>&lt;class 'float'&gt;</v>
    <v>float</v>
    <v>0.2297851813525786</v>
    <v>0.22978518135257861</v>
    <v>0</v>
  </rv>
  <rv s="1">
    <fb>19.940067792368712</fb>
    <v>&lt;class 'float'&gt;</v>
    <v>float</v>
    <v>19.940067792368712</v>
    <v>19.940067792368712</v>
    <v>0</v>
  </rv>
  <rv s="1">
    <fb>26.046530818602431</fb>
    <v>&lt;class 'float'&gt;</v>
    <v>float</v>
    <v>26.04653081860243</v>
    <v>26.046530818602431</v>
    <v>0</v>
  </rv>
  <rv s="1">
    <fb>0.22978502629346953</fb>
    <v>&lt;class 'float'&gt;</v>
    <v>float</v>
    <v>0.22978502629346953</v>
    <v>0.22978502629346953</v>
    <v>0</v>
  </rv>
  <rv s="1">
    <fb>19.940067397316358</fb>
    <v>&lt;class 'float'&gt;</v>
    <v>float</v>
    <v>19.94006739731636</v>
    <v>19.940067397316358</v>
    <v>0</v>
  </rv>
  <rv s="1">
    <fb>26.046530638823242</fb>
    <v>&lt;class 'float'&gt;</v>
    <v>float</v>
    <v>26.046530638823242</v>
    <v>26.046530638823242</v>
    <v>0</v>
  </rv>
  <rv s="1">
    <fb>0.22978487543185452</fb>
    <v>&lt;class 'float'&gt;</v>
    <v>float</v>
    <v>0.22978487543185452</v>
    <v>0.22978487543185452</v>
    <v>0</v>
  </rv>
  <rv s="1">
    <fb>19.940067002289677</fb>
    <v>&lt;class 'float'&gt;</v>
    <v>float</v>
    <v>19.940067002289677</v>
    <v>19.940067002289677</v>
    <v>0</v>
  </rv>
  <rv s="1">
    <fb>26.046530460331052</fb>
    <v>&lt;class 'float'&gt;</v>
    <v>float</v>
    <v>26.046530460331052</v>
    <v>26.046530460331052</v>
    <v>0</v>
  </rv>
  <rv s="1">
    <fb>0.22978472865584523</fb>
    <v>&lt;class 'float'&gt;</v>
    <v>float</v>
    <v>0.22978472865584523</v>
    <v>0.22978472865584523</v>
    <v>0</v>
  </rv>
  <rv s="1">
    <fb>19.940066607287978</fb>
    <v>&lt;class 'float'&gt;</v>
    <v>float</v>
    <v>19.940066607287978</v>
    <v>19.940066607287978</v>
    <v>0</v>
  </rv>
  <rv s="1">
    <fb>26.046530283058157</fb>
    <v>&lt;class 'float'&gt;</v>
    <v>float</v>
    <v>26.046530283058157</v>
    <v>26.046530283058157</v>
    <v>0</v>
  </rv>
  <rv s="1">
    <fb>0.22978458585653574</fb>
    <v>&lt;class 'float'&gt;</v>
    <v>float</v>
    <v>0.22978458585653574</v>
    <v>0.22978458585653574</v>
    <v>0</v>
  </rv>
  <rv s="1">
    <fb>19.940066212310601</fb>
    <v>&lt;class 'float'&gt;</v>
    <v>float</v>
    <v>19.9400662123106</v>
    <v>19.940066212310601</v>
    <v>0</v>
  </rv>
  <rv s="1">
    <fb>26.046530106940427</fb>
    <v>&lt;class 'float'&gt;</v>
    <v>float</v>
    <v>26.046530106940427</v>
    <v>26.046530106940427</v>
    <v>0</v>
  </rv>
</rvData>
</file>

<file path=xl/richData/rdrichvaluestructure.xml><?xml version="1.0" encoding="utf-8"?>
<rvStructures xmlns="http://schemas.microsoft.com/office/spreadsheetml/2017/richdata" count="2">
  <s t="_python">
    <k n="Python_type" t="s"/>
    <k n="Python_typeName" t="s"/>
    <k n="Python_str" t="s"/>
    <k n="basicValue" t="s"/>
    <k n="_Provider" t="spb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2467-AAAA-4B1F-A402-C3AA163F0CC4}">
  <dimension ref="B1:J138"/>
  <sheetViews>
    <sheetView tabSelected="1" zoomScale="145" workbookViewId="0">
      <selection activeCell="E8" sqref="E8"/>
    </sheetView>
  </sheetViews>
  <sheetFormatPr defaultRowHeight="14.4" x14ac:dyDescent="0.3"/>
  <cols>
    <col min="2" max="2" width="6.109375" customWidth="1"/>
    <col min="3" max="3" width="10.109375" bestFit="1" customWidth="1"/>
    <col min="4" max="4" width="14.33203125" customWidth="1"/>
    <col min="5" max="5" width="15.77734375" customWidth="1"/>
    <col min="6" max="6" width="10" bestFit="1" customWidth="1"/>
    <col min="7" max="7" width="14.33203125" customWidth="1"/>
    <col min="8" max="8" width="12.6640625" customWidth="1"/>
  </cols>
  <sheetData>
    <row r="1" spans="2:10" x14ac:dyDescent="0.3">
      <c r="E1" t="s">
        <v>8</v>
      </c>
      <c r="F1" t="s">
        <v>9</v>
      </c>
      <c r="H1" s="3" t="s">
        <v>8</v>
      </c>
      <c r="I1" s="3" t="s">
        <v>9</v>
      </c>
      <c r="J1" s="3" t="s">
        <v>17</v>
      </c>
    </row>
    <row r="2" spans="2:10" x14ac:dyDescent="0.3">
      <c r="E2">
        <v>0.23</v>
      </c>
      <c r="F2">
        <v>19.940000000000001</v>
      </c>
      <c r="H2">
        <v>0.97599999999999998</v>
      </c>
      <c r="I2">
        <v>-102.209</v>
      </c>
      <c r="J2">
        <v>1.984088500000001</v>
      </c>
    </row>
    <row r="3" spans="2:10" x14ac:dyDescent="0.3">
      <c r="B3" t="s">
        <v>0</v>
      </c>
      <c r="C3" t="s">
        <v>1</v>
      </c>
      <c r="D3" t="s">
        <v>2</v>
      </c>
      <c r="E3" t="s">
        <v>11</v>
      </c>
      <c r="F3" t="s">
        <v>10</v>
      </c>
      <c r="H3">
        <v>0.23</v>
      </c>
      <c r="I3">
        <v>19.940000000000001</v>
      </c>
      <c r="J3">
        <v>26.047149999999998</v>
      </c>
    </row>
    <row r="4" spans="2:10" x14ac:dyDescent="0.3">
      <c r="B4" t="s">
        <v>3</v>
      </c>
      <c r="C4">
        <v>170</v>
      </c>
      <c r="D4">
        <v>65</v>
      </c>
      <c r="E4">
        <f>C4*$E$2+$F$2</f>
        <v>59.040000000000006</v>
      </c>
      <c r="F4">
        <f>(E4-D4)^2</f>
        <v>35.521599999999928</v>
      </c>
    </row>
    <row r="5" spans="2:10" x14ac:dyDescent="0.3">
      <c r="B5" t="s">
        <v>4</v>
      </c>
      <c r="C5">
        <v>155</v>
      </c>
      <c r="D5">
        <v>50</v>
      </c>
      <c r="E5">
        <f>C5*$E$2+$F$2</f>
        <v>55.59</v>
      </c>
      <c r="F5">
        <f>(E5-D5)^2</f>
        <v>31.248100000000036</v>
      </c>
    </row>
    <row r="6" spans="2:10" x14ac:dyDescent="0.3">
      <c r="B6" t="s">
        <v>5</v>
      </c>
      <c r="C6">
        <v>150</v>
      </c>
      <c r="D6">
        <v>45</v>
      </c>
      <c r="E6">
        <f>C6*$E$2+$F$2</f>
        <v>54.44</v>
      </c>
      <c r="F6">
        <f>(E6-D6)^2</f>
        <v>89.113599999999963</v>
      </c>
    </row>
    <row r="7" spans="2:10" x14ac:dyDescent="0.3">
      <c r="B7" t="s">
        <v>6</v>
      </c>
      <c r="C7">
        <v>175</v>
      </c>
      <c r="D7">
        <v>70</v>
      </c>
      <c r="E7">
        <f>C7*$E$2+$F$2</f>
        <v>60.19</v>
      </c>
      <c r="F7">
        <f>(E7-D7)^2</f>
        <v>96.23610000000005</v>
      </c>
    </row>
    <row r="8" spans="2:10" x14ac:dyDescent="0.3">
      <c r="B8" t="s">
        <v>7</v>
      </c>
      <c r="C8">
        <v>165</v>
      </c>
      <c r="D8">
        <v>55</v>
      </c>
      <c r="E8">
        <f>C8*$E$2+$F$2</f>
        <v>57.89</v>
      </c>
      <c r="F8">
        <f>(E8-D8)^2</f>
        <v>8.3521000000000036</v>
      </c>
    </row>
    <row r="9" spans="2:10" x14ac:dyDescent="0.3">
      <c r="F9">
        <f>SUM(F4:F8)/(2*COUNTA(F4:F8))</f>
        <v>26.047149999999998</v>
      </c>
    </row>
    <row r="10" spans="2:10" x14ac:dyDescent="0.3">
      <c r="B10" s="1" t="s">
        <v>12</v>
      </c>
    </row>
    <row r="11" spans="2:10" x14ac:dyDescent="0.3">
      <c r="B11" t="str" cm="1" vm="1">
        <f t="array" ref="B11">_xlfn._xlws.PY(0,1,C4:D8)</f>
        <v>(150*a + b - 45)**2/10 + (155*a + b - 50)**2/10 + (165*a + b - 55)**2/10 + (170*a + b - 65)**2/10 + (175*a + b - 70)**2/10</v>
      </c>
    </row>
    <row r="12" spans="2:10" x14ac:dyDescent="0.3">
      <c r="B12" t="str" cm="1" vm="2">
        <f t="array" ref="B12">_xlfn._xlws.PY(1,1)</f>
        <v>26655*a**2/2 + a*(163*b - 9375) + b**2/2 - 57*b + 3335/2</v>
      </c>
    </row>
    <row r="13" spans="2:10" x14ac:dyDescent="0.3">
      <c r="B13" s="1" t="s">
        <v>13</v>
      </c>
    </row>
    <row r="14" spans="2:10" x14ac:dyDescent="0.3">
      <c r="B14" t="str" cm="1" vm="3">
        <f t="array" ref="B14">_xlfn._xlws.PY(2,1)</f>
        <v>26655*a + 163*b - 9375</v>
      </c>
    </row>
    <row r="15" spans="2:10" x14ac:dyDescent="0.3">
      <c r="B15" s="1" t="s">
        <v>14</v>
      </c>
    </row>
    <row r="16" spans="2:10" x14ac:dyDescent="0.3">
      <c r="B16" t="str" cm="1" vm="4">
        <f t="array" ref="B16">_xlfn._xlws.PY(3,1)</f>
        <v>163*a + b - 57</v>
      </c>
    </row>
    <row r="18" spans="2:6" x14ac:dyDescent="0.3">
      <c r="B18" t="s">
        <v>3</v>
      </c>
      <c r="C18" t="str" cm="1" vm="5">
        <f t="array" ref="C18">_xlfn._xlws.PY(4,1)</f>
        <v>[[2.6655e+04 1.6300e+02]
 [1.6300e+02 1.0000e+00]]</v>
      </c>
    </row>
    <row r="19" spans="2:6" x14ac:dyDescent="0.3">
      <c r="B19" t="s">
        <v>4</v>
      </c>
      <c r="C19" t="str" cm="1" vm="6">
        <f t="array" ref="C19">_xlfn._xlws.PY(5,1)</f>
        <v>[9375 57]</v>
      </c>
    </row>
    <row r="20" spans="2:6" x14ac:dyDescent="0.3">
      <c r="B20" t="s">
        <v>16</v>
      </c>
      <c r="C20" t="str" cm="1" vm="7">
        <f t="array" ref="C20">_xlfn._xlws.PY(6,1)</f>
        <v>[0.976744186046474 -102.209302325577]</v>
      </c>
    </row>
    <row r="21" spans="2:6" x14ac:dyDescent="0.3">
      <c r="D21" s="2"/>
    </row>
    <row r="22" spans="2:6" x14ac:dyDescent="0.3">
      <c r="C22" t="s">
        <v>8</v>
      </c>
      <c r="D22" t="s">
        <v>9</v>
      </c>
      <c r="E22" t="s">
        <v>10</v>
      </c>
      <c r="F22" t="s">
        <v>15</v>
      </c>
    </row>
    <row r="23" spans="2:6" x14ac:dyDescent="0.3">
      <c r="C23">
        <v>10</v>
      </c>
      <c r="D23">
        <v>20</v>
      </c>
      <c r="E23" cm="1" vm="8">
        <f t="array" ref="E23">_xlfn._xlws.PY(7,1,C23,D23)</f>
        <v>1272327.5</v>
      </c>
      <c r="F23" s="2">
        <v>1.0000000000000001E-5</v>
      </c>
    </row>
    <row r="24" spans="2:6" x14ac:dyDescent="0.3">
      <c r="C24" cm="1" vm="9">
        <f t="array" ref="C24">_xlfn._xlws.PY(8,1,C23,F23,C23,D23)</f>
        <v>7.3956499999999998</v>
      </c>
      <c r="D24" cm="1" vm="10">
        <f t="array" ref="D24">_xlfn._xlws.PY(9,1,D23,F23,C23,D23)</f>
        <v>19.984069999999999</v>
      </c>
      <c r="E24" cm="1" vm="11">
        <f t="array" ref="E24">_xlfn._xlws.PY(7,1,C24,D24)</f>
        <v>684440.61405566765</v>
      </c>
      <c r="F24" s="2">
        <v>1.0000000000000001E-5</v>
      </c>
    </row>
    <row r="25" spans="2:6" x14ac:dyDescent="0.3">
      <c r="C25" cm="1" vm="12">
        <f t="array" ref="C25">_xlfn._xlws.PY(8,1,C24,F24,C24,D24)</f>
        <v>5.4855154584000001</v>
      </c>
      <c r="D25" cm="1" vm="13">
        <f t="array" ref="D25">_xlfn._xlws.PY(9,1,D24,F24,C24,D24)</f>
        <v>19.972385249799999</v>
      </c>
      <c r="E25" cm="1" vm="14">
        <f t="array" ref="E25">_xlfn._xlws.PY(7,1,C25,D25)</f>
        <v>368196.10479876783</v>
      </c>
      <c r="F25" s="2">
        <v>1.0000000000000001E-5</v>
      </c>
    </row>
    <row r="26" spans="2:6" x14ac:dyDescent="0.3">
      <c r="C26" cm="1" vm="15">
        <f t="array" ref="C26">_xlfn._xlws.PY(8,1,C25,F25,C25,D25)</f>
        <v>4.0845463250063059</v>
      </c>
      <c r="D26" cm="1" vm="16">
        <f t="array" ref="D26">_xlfn._xlws.PY(9,1,D25,F25,C25,D25)</f>
        <v>19.963814135750308</v>
      </c>
      <c r="E26" cm="1" vm="17">
        <f t="array" ref="E26">_xlfn._xlws.PY(7,1,C26,D26)</f>
        <v>198077.34211420181</v>
      </c>
      <c r="F26" s="2">
        <v>1.0000000000000001E-5</v>
      </c>
    </row>
    <row r="27" spans="2:6" x14ac:dyDescent="0.3">
      <c r="C27" cm="1" vm="18">
        <f t="array" ref="C27">_xlfn._xlws.PY(8,1,C26,F26,C26,D26)</f>
        <v>3.0570194850346022</v>
      </c>
      <c r="D27" cm="1" vm="19">
        <f t="array" ref="D27">_xlfn._xlws.PY(9,1,D26,F26,C26,D26)</f>
        <v>19.95752668709919</v>
      </c>
      <c r="E27" cm="1" vm="20">
        <f t="array" ref="E27">_xlfn._xlws.PY(7,1,C27,D27)</f>
        <v>106564.62783677243</v>
      </c>
      <c r="F27" s="2">
        <v>1.0000000000000001E-5</v>
      </c>
    </row>
    <row r="28" spans="2:6" x14ac:dyDescent="0.3">
      <c r="C28" cm="1" vm="21">
        <f t="array" ref="C28">_xlfn._xlws.PY(8,1,C27,F27,C27,D27)</f>
        <v>2.3033901727986574</v>
      </c>
      <c r="D28" cm="1" vm="22">
        <f t="array" ref="D28">_xlfn._xlws.PY(9,1,D27,F27,C27,D27)</f>
        <v>19.952914170071711</v>
      </c>
      <c r="E28" cm="1" vm="23">
        <f t="array" ref="E28">_xlfn._xlws.PY(7,1,C28,D28)</f>
        <v>57336.801685656064</v>
      </c>
      <c r="F28" s="2">
        <v>1.0000000000000001E-5</v>
      </c>
    </row>
    <row r="29" spans="2:6" x14ac:dyDescent="0.3">
      <c r="C29" cm="1" vm="24">
        <f t="array" ref="C29">_xlfn._xlws.PY(8,1,C28,F28,C28,D28)</f>
        <v>1.7506482721419583</v>
      </c>
      <c r="D29" cm="1" vm="25">
        <f t="array" ref="D29">_xlfn._xlws.PY(9,1,D28,F28,C28,D28)</f>
        <v>19.949530114948349</v>
      </c>
      <c r="E29" cm="1" vm="26">
        <f t="array" ref="E29">_xlfn._xlws.PY(7,1,C29,D29)</f>
        <v>30855.466422796486</v>
      </c>
      <c r="F29" s="2">
        <v>1.0000000000000001E-5</v>
      </c>
    </row>
    <row r="30" spans="2:6" x14ac:dyDescent="0.3">
      <c r="C30" cm="1" vm="27">
        <f t="array" ref="C30">_xlfn._xlws.PY(8,1,C29,F29,C29,D29)</f>
        <v>1.3452452411151534</v>
      </c>
      <c r="D30" cm="1" vm="28">
        <f t="array" ref="D30">_xlfn._xlws.PY(9,1,D29,F29,C29,D29)</f>
        <v>19.947047062963609</v>
      </c>
      <c r="E30" cm="1" vm="29">
        <f t="array" ref="E30">_xlfn._xlws.PY(7,1,C30,D30)</f>
        <v>16610.248379496992</v>
      </c>
      <c r="F30" s="2">
        <v>1.0000000000000001E-5</v>
      </c>
    </row>
    <row r="31" spans="2:6" x14ac:dyDescent="0.3">
      <c r="C31" cm="1" vm="30">
        <f t="array" ref="C31">_xlfn._xlws.PY(8,1,C30,F30,C30,D30)</f>
        <v>1.0479064353832785</v>
      </c>
      <c r="D31" cm="1" vm="31">
        <f t="array" ref="D31">_xlfn._xlws.PY(9,1,D30,F30,C30,D30)</f>
        <v>19.945224842749962</v>
      </c>
      <c r="E31" cm="1" vm="32">
        <f t="array" ref="E31">_xlfn._xlws.PY(7,1,C31,D31)</f>
        <v>8947.2572540255587</v>
      </c>
      <c r="F31" s="2">
        <v>1.0000000000000001E-5</v>
      </c>
    </row>
    <row r="32" spans="2:6" x14ac:dyDescent="0.3">
      <c r="C32" cm="1" vm="33">
        <f t="array" ref="C32">_xlfn._xlws.PY(8,1,C31,F31,C31,D31)</f>
        <v>0.82982625853818315</v>
      </c>
      <c r="D32" cm="1" vm="34">
        <f t="array" ref="D32">_xlfn._xlws.PY(9,1,D31,F31,C31,D31)</f>
        <v>19.943887303011859</v>
      </c>
      <c r="E32" cm="1" vm="35">
        <f t="array" ref="E32">_xlfn._xlws.PY(7,1,C32,D32)</f>
        <v>4825.071632486518</v>
      </c>
      <c r="F32" s="2">
        <v>1.0000000000000001E-5</v>
      </c>
    </row>
    <row r="33" spans="3:6" x14ac:dyDescent="0.3">
      <c r="C33" cm="1" vm="36">
        <f t="array" ref="C33">_xlfn._xlws.PY(8,1,C32,F32,C32,D32)</f>
        <v>0.66987753302092112</v>
      </c>
      <c r="D33" cm="1" vm="37">
        <f t="array" ref="D33">_xlfn._xlws.PY(9,1,D32,F32,C32,D32)</f>
        <v>19.942905247337411</v>
      </c>
      <c r="E33" cm="1" vm="38">
        <f t="array" ref="E33">_xlfn._xlws.PY(7,1,C33,D33)</f>
        <v>2607.6066736035264</v>
      </c>
      <c r="F33" s="2">
        <v>1.0000000000000001E-5</v>
      </c>
    </row>
    <row r="34" spans="3:6" x14ac:dyDescent="0.3">
      <c r="C34" cm="1" vm="39">
        <f t="array" ref="C34">_xlfn._xlws.PY(8,1,C33,F33,C33,D33)</f>
        <v>0.55256474104103459</v>
      </c>
      <c r="D34" cm="1" vm="40">
        <f t="array" ref="D34">_xlfn._xlws.PY(9,1,D33,F33,C33,D33)</f>
        <v>19.942183917906114</v>
      </c>
      <c r="E34" cm="1" vm="41">
        <f t="array" ref="E34">_xlfn._xlws.PY(7,1,C34,D34)</f>
        <v>1414.7562547509613</v>
      </c>
      <c r="F34" s="2">
        <v>1.0000000000000001E-5</v>
      </c>
    </row>
    <row r="35" spans="3:6" x14ac:dyDescent="0.3">
      <c r="C35" cm="1" vm="42">
        <f t="array" ref="C35">_xlfn._xlws.PY(8,1,C34,F34,C34,D34)</f>
        <v>0.46652284953035983</v>
      </c>
      <c r="D35" cm="1" vm="43">
        <f t="array" ref="D35">_xlfn._xlws.PY(9,1,D34,F34,C34,D34)</f>
        <v>19.941653815539038</v>
      </c>
      <c r="E35" cm="1" vm="44">
        <f t="array" ref="E35">_xlfn._xlws.PY(7,1,C35,D35)</f>
        <v>773.08112171580046</v>
      </c>
      <c r="F35" s="2">
        <v>1.0000000000000001E-5</v>
      </c>
    </row>
    <row r="36" spans="3:6" x14ac:dyDescent="0.3">
      <c r="C36" cm="1" vm="45">
        <f t="array" ref="C36">_xlfn._xlws.PY(8,1,C35,F35,C35,D35)</f>
        <v>0.40341628826871379</v>
      </c>
      <c r="D36" cm="1" vm="46">
        <f t="array" ref="D36">_xlfn._xlws.PY(9,1,D35,F35,C35,D35)</f>
        <v>19.941263966756146</v>
      </c>
      <c r="E36" cm="1" vm="47">
        <f t="array" ref="E36">_xlfn._xlws.PY(7,1,C36,D36)</f>
        <v>427.90206972090715</v>
      </c>
      <c r="F36" s="2">
        <v>1.0000000000000001E-5</v>
      </c>
    </row>
    <row r="37" spans="3:6" x14ac:dyDescent="0.3">
      <c r="C37" cm="1" vm="48">
        <f t="array" ref="C37">_xlfn._xlws.PY(8,1,C36,F36,C36,D36)</f>
        <v>0.35713141636487561</v>
      </c>
      <c r="D37" cm="1" vm="49">
        <f t="array" ref="D37">_xlfn._xlws.PY(9,1,D36,F36,C36,D36)</f>
        <v>19.9409769855666</v>
      </c>
      <c r="E37" cm="1" vm="50">
        <f t="array" ref="E37">_xlfn._xlws.PY(7,1,C37,D37)</f>
        <v>242.21842387773273</v>
      </c>
      <c r="F37" s="2">
        <v>1.0000000000000001E-5</v>
      </c>
    </row>
    <row r="38" spans="3:6" x14ac:dyDescent="0.3">
      <c r="C38" cm="1" vm="51">
        <f t="array" ref="C38">_xlfn._xlws.PY(8,1,C37,F37,C37,D37)</f>
        <v>0.32318424484634445</v>
      </c>
      <c r="D38" cm="1" vm="52">
        <f t="array" ref="D38">_xlfn._xlws.PY(9,1,D37,F37,C37,D37)</f>
        <v>19.940765451588071</v>
      </c>
      <c r="E38" cm="1" vm="53">
        <f t="array" ref="E38">_xlfn._xlws.PY(7,1,C38,D38)</f>
        <v>142.33282465375444</v>
      </c>
      <c r="F38" s="2">
        <v>1.0000000000000001E-5</v>
      </c>
    </row>
    <row r="39" spans="3:6" x14ac:dyDescent="0.3">
      <c r="C39" cm="1" vm="54">
        <f t="array" ref="C39">_xlfn._xlws.PY(8,1,C38,F38,C38,D38)</f>
        <v>0.29828603669646281</v>
      </c>
      <c r="D39" cm="1" vm="55">
        <f t="array" ref="D39">_xlfn._xlws.PY(9,1,D38,F38,C38,D38)</f>
        <v>19.940609253614454</v>
      </c>
      <c r="E39" cm="1" vm="56">
        <f t="array" ref="E39">_xlfn._xlws.PY(7,1,C39,D39)</f>
        <v>88.600935942713207</v>
      </c>
      <c r="F39" s="2">
        <v>1.0000000000000001E-5</v>
      </c>
    </row>
    <row r="40" spans="3:6" x14ac:dyDescent="0.3">
      <c r="C40" cm="1" vm="57">
        <f t="array" ref="C40">_xlfn._xlws.PY(8,1,C39,F39,C39,D39)</f>
        <v>0.28002470053162909</v>
      </c>
      <c r="D40" cm="1" vm="58">
        <f t="array" ref="D40">_xlfn._xlws.PY(9,1,D39,F39,C39,D39)</f>
        <v>19.940493641282103</v>
      </c>
      <c r="E40" cm="1" vm="59">
        <f t="array" ref="E40">_xlfn._xlws.PY(7,1,C40,D40)</f>
        <v>59.696710308507065</v>
      </c>
      <c r="F40" s="2">
        <v>1.0000000000000001E-5</v>
      </c>
    </row>
    <row r="41" spans="3:6" x14ac:dyDescent="0.3">
      <c r="C41" cm="1" vm="60">
        <f t="array" ref="C41">_xlfn._xlws.PY(8,1,C40,F40,C40,D40)</f>
        <v>0.26663111196963352</v>
      </c>
      <c r="D41" cm="1" vm="61">
        <f t="array" ref="D41">_xlfn._xlws.PY(9,1,D40,F40,C40,D40)</f>
        <v>19.940407796083825</v>
      </c>
      <c r="E41" cm="1" vm="62">
        <f t="array" ref="E41">_xlfn._xlws.PY(7,1,C41,D41)</f>
        <v>44.148135758606756</v>
      </c>
      <c r="F41" s="2">
        <v>1.0000000000000001E-5</v>
      </c>
    </row>
    <row r="42" spans="3:6" x14ac:dyDescent="0.3">
      <c r="C42" cm="1" vm="63">
        <f t="array" ref="C42">_xlfn._xlws.PY(8,1,C41,F41,C41,D41)</f>
        <v>0.25680772436651106</v>
      </c>
      <c r="D42" cm="1" vm="64">
        <f t="array" ref="D42">_xlfn._xlws.PY(9,1,D41,F41,C41,D41)</f>
        <v>19.940343783293354</v>
      </c>
      <c r="E42" cm="1" vm="65">
        <f t="array" ref="E42">_xlfn._xlws.PY(7,1,C42,D42)</f>
        <v>35.784023771038655</v>
      </c>
      <c r="F42" s="2">
        <v>1.0000000000000001E-5</v>
      </c>
    </row>
    <row r="43" spans="3:6" x14ac:dyDescent="0.3">
      <c r="C43" cm="1" vm="66">
        <f t="array" ref="C43">_xlfn._xlws.PY(8,1,C42,F42,C42,D42)</f>
        <v>0.24960286506984936</v>
      </c>
      <c r="D43" cm="1" vm="67">
        <f t="array" ref="D43">_xlfn._xlws.PY(9,1,D42,F42,C42,D42)</f>
        <v>19.940295783264805</v>
      </c>
      <c r="E43" cm="1" vm="68">
        <f t="array" ref="E43">_xlfn._xlws.PY(7,1,C43,D43)</f>
        <v>31.284680485777233</v>
      </c>
      <c r="F43" s="2">
        <v>1.0000000000000001E-5</v>
      </c>
    </row>
    <row r="44" spans="3:6" x14ac:dyDescent="0.3">
      <c r="C44" cm="1" vm="69">
        <f t="array" ref="C44">_xlfn._xlws.PY(8,1,C43,F43,C43,D43)</f>
        <v>0.24431853925875938</v>
      </c>
      <c r="D44" cm="1" vm="70">
        <f t="array" ref="D44">_xlfn._xlws.PY(9,1,D43,F43,C43,D43)</f>
        <v>19.940259527636908</v>
      </c>
      <c r="E44" cm="1" vm="71">
        <f t="array" ref="E44">_xlfn._xlws.PY(7,1,C44,D44)</f>
        <v>28.86432877333581</v>
      </c>
      <c r="F44" s="2">
        <v>1.0000000000000001E-5</v>
      </c>
    </row>
    <row r="45" spans="3:6" x14ac:dyDescent="0.3">
      <c r="C45" cm="1" vm="72">
        <f t="array" ref="C45">_xlfn._xlws.PY(8,1,C44,F44,C44,D44)</f>
        <v>0.2404428095892889</v>
      </c>
      <c r="D45" cm="1" vm="73">
        <f t="array" ref="D45">_xlfn._xlws.PY(9,1,D44,F44,C44,D44)</f>
        <v>19.940231885822641</v>
      </c>
      <c r="E45" cm="1" vm="74">
        <f t="array" ref="E45">_xlfn._xlws.PY(7,1,C45,D45)</f>
        <v>27.56233789767019</v>
      </c>
      <c r="F45" s="2">
        <v>1.0000000000000001E-5</v>
      </c>
    </row>
    <row r="46" spans="3:6" x14ac:dyDescent="0.3">
      <c r="C46" cm="1" vm="75">
        <f t="array" ref="C46">_xlfn._xlws.PY(8,1,C45,F45,C45,D45)</f>
        <v>0.23760020071937304</v>
      </c>
      <c r="D46" cm="1" vm="76">
        <f t="array" ref="D46">_xlfn._xlws.PY(9,1,D45,F45,C45,D45)</f>
        <v>19.94021056172415</v>
      </c>
      <c r="E46" cm="1" vm="77">
        <f t="array" ref="E46">_xlfn._xlws.PY(7,1,C46,D46)</f>
        <v>26.861951654551198</v>
      </c>
      <c r="F46" s="2">
        <v>1.0000000000000001E-5</v>
      </c>
    </row>
    <row r="47" spans="3:6" x14ac:dyDescent="0.3">
      <c r="C47" cm="1" vm="78">
        <f t="array" ref="C47">_xlfn._xlws.PY(8,1,C46,F46,C46,D46)</f>
        <v>0.2355153240020138</v>
      </c>
      <c r="D47" cm="1" vm="79">
        <f t="array" ref="D47">_xlfn._xlws.PY(9,1,D46,F46,C46,D46)</f>
        <v>19.94019387129136</v>
      </c>
      <c r="E47" cm="1" vm="80">
        <f t="array" ref="E47">_xlfn._xlws.PY(7,1,C47,D47)</f>
        <v>26.485189166842869</v>
      </c>
      <c r="F47" s="2">
        <v>1.0000000000000001E-5</v>
      </c>
    </row>
    <row r="48" spans="3:6" x14ac:dyDescent="0.3">
      <c r="C48" cm="1" vm="81">
        <f t="array" ref="C48">_xlfn._xlws.PY(8,1,C47,F47,C47,D47)</f>
        <v>0.23398619837907211</v>
      </c>
      <c r="D48" cm="1" vm="82">
        <f t="array" ref="D48">_xlfn._xlws.PY(9,1,D47,F47,C47,D47)</f>
        <v>19.940180579374523</v>
      </c>
      <c r="E48" cm="1" vm="83">
        <f t="array" ref="E48">_xlfn._xlws.PY(7,1,C48,D48)</f>
        <v>26.282514991291929</v>
      </c>
      <c r="F48" s="2">
        <v>1.0000000000000001E-5</v>
      </c>
    </row>
    <row r="49" spans="3:6" x14ac:dyDescent="0.3">
      <c r="C49" cm="1" vm="84">
        <f t="array" ref="C49">_xlfn._xlws.PY(8,1,C48,F48,C48,D48)</f>
        <v>0.23286468285674997</v>
      </c>
      <c r="D49" cm="1" vm="85">
        <f t="array" ref="D49">_xlfn._xlws.PY(9,1,D48,F48,C48,D48)</f>
        <v>19.940169780065371</v>
      </c>
      <c r="E49" cm="1" vm="86">
        <f t="array" ref="E49">_xlfn._xlws.PY(7,1,C49,D49)</f>
        <v>26.173488886759014</v>
      </c>
      <c r="F49" s="2">
        <v>1.0000000000000001E-5</v>
      </c>
    </row>
    <row r="50" spans="3:6" x14ac:dyDescent="0.3">
      <c r="C50" cm="1" vm="87">
        <f t="array" ref="C50">_xlfn._xlws.PY(8,1,C49,F49,C49,D49)</f>
        <v>0.23204212489977671</v>
      </c>
      <c r="D50" cm="1" vm="88">
        <f t="array" ref="D50">_xlfn._xlws.PY(9,1,D49,F49,C49,D49)</f>
        <v>19.940160808934515</v>
      </c>
      <c r="E50" cm="1" vm="89">
        <f t="array" ref="E50">_xlfn._xlws.PY(7,1,C50,D50)</f>
        <v>26.114839289969314</v>
      </c>
      <c r="F50" s="2">
        <v>1.0000000000000001E-5</v>
      </c>
    </row>
    <row r="51" spans="3:6" x14ac:dyDescent="0.3">
      <c r="C51" cm="1" vm="90">
        <f t="array" ref="C51">_xlfn._xlws.PY(8,1,C50,F50,C50,D50)</f>
        <v>0.23143883438917798</v>
      </c>
      <c r="D51" cm="1" vm="91">
        <f t="array" ref="D51">_xlfn._xlws.PY(9,1,D50,F50,C50,D50)</f>
        <v>19.94015317866284</v>
      </c>
      <c r="E51" cm="1" vm="92">
        <f t="array" ref="E51">_xlfn._xlws.PY(7,1,C51,D51)</f>
        <v>26.083288943648061</v>
      </c>
      <c r="F51" s="2">
        <v>1.0000000000000001E-5</v>
      </c>
    </row>
    <row r="52" spans="3:6" x14ac:dyDescent="0.3">
      <c r="C52" cm="1" vm="93">
        <f t="array" ref="C52">_xlfn._xlws.PY(8,1,C51,F51,C51,D51)</f>
        <v>0.23099636340152216</v>
      </c>
      <c r="D52" cm="1" vm="94">
        <f t="array" ref="D52">_xlfn._xlws.PY(9,1,D51,F51,C51,D51)</f>
        <v>19.940146531830997</v>
      </c>
      <c r="E52" cm="1" vm="95">
        <f t="array" ref="E52">_xlfn._xlws.PY(7,1,C52,D52)</f>
        <v>26.066316213141224</v>
      </c>
      <c r="F52" s="2">
        <v>1.0000000000000001E-5</v>
      </c>
    </row>
    <row r="53" spans="3:6" x14ac:dyDescent="0.3">
      <c r="C53" cm="1" vm="96">
        <f t="array" ref="C53">_xlfn._xlws.PY(8,1,C52,F52,C52,D52)</f>
        <v>0.2306718438899619</v>
      </c>
      <c r="D53" cm="1" vm="97">
        <f t="array" ref="D53">_xlfn._xlws.PY(9,1,D52,F52,C52,D52)</f>
        <v>19.940140606293333</v>
      </c>
      <c r="E53" cm="1" vm="98">
        <f t="array" ref="E53">_xlfn._xlws.PY(7,1,C53,D53)</f>
        <v>26.057185281915178</v>
      </c>
      <c r="F53" s="2">
        <v>1.0000000000000001E-5</v>
      </c>
    </row>
    <row r="54" spans="3:6" x14ac:dyDescent="0.3">
      <c r="C54" cm="1" vm="99">
        <f t="array" ref="C54">_xlfn._xlws.PY(8,1,C53,F53,C53,D53)</f>
        <v>0.23043383471283441</v>
      </c>
      <c r="D54" cm="1" vm="100">
        <f t="array" ref="D54">_xlfn._xlws.PY(9,1,D53,F53,C53,D53)</f>
        <v>19.940135209781729</v>
      </c>
      <c r="E54" cm="1" vm="101">
        <f t="array" ref="E54">_xlfn._xlws.PY(7,1,C54,D54)</f>
        <v>26.052272723346455</v>
      </c>
      <c r="F54" s="2">
        <v>1.0000000000000001E-5</v>
      </c>
    </row>
    <row r="55" spans="3:6" x14ac:dyDescent="0.3">
      <c r="C55" cm="1" vm="102">
        <f t="array" ref="C55">_xlfn._xlws.PY(8,1,C54,F54,C54,D54)</f>
        <v>0.23025927567818419</v>
      </c>
      <c r="D55" cm="1" vm="103">
        <f t="array" ref="D55">_xlfn._xlws.PY(9,1,D54,F54,C54,D54)</f>
        <v>19.94013020127905</v>
      </c>
      <c r="E55" cm="1" vm="104">
        <f t="array" ref="E55">_xlfn._xlws.PY(7,1,C55,D55)</f>
        <v>26.04962937203987</v>
      </c>
      <c r="F55" s="2">
        <v>1.0000000000000001E-5</v>
      </c>
    </row>
    <row r="56" spans="3:6" x14ac:dyDescent="0.3">
      <c r="C56" cm="1" vm="105">
        <f t="array" ref="C56">_xlfn._xlws.PY(8,1,C55,F55,C55,D55)</f>
        <v>0.23013125351807934</v>
      </c>
      <c r="D56" cm="1" vm="106">
        <f t="array" ref="D56">_xlfn._xlws.PY(9,1,D55,F55,C55,D55)</f>
        <v>19.940125477357682</v>
      </c>
      <c r="E56" cm="1" vm="107">
        <f t="array" ref="E56">_xlfn._xlws.PY(7,1,C56,D56)</f>
        <v>26.048206705110161</v>
      </c>
      <c r="F56" s="2">
        <v>1.0000000000000001E-5</v>
      </c>
    </row>
    <row r="57" spans="3:6" x14ac:dyDescent="0.3">
      <c r="C57" cm="1" vm="108">
        <f t="array" ref="C57">_xlfn._xlws.PY(8,1,C56,F56,C56,D56)</f>
        <v>0.23003736336474226</v>
      </c>
      <c r="D57" cm="1" vm="109">
        <f t="array" ref="D57">_xlfn._xlws.PY(9,1,D56,F56,C56,D56)</f>
        <v>19.940120962159675</v>
      </c>
      <c r="E57" cm="1" vm="110">
        <f t="array" ref="E57">_xlfn._xlws.PY(7,1,C57,D57)</f>
        <v>26.047440686153013</v>
      </c>
      <c r="F57" s="2">
        <v>1.0000000000000001E-5</v>
      </c>
    </row>
    <row r="58" spans="3:6" x14ac:dyDescent="0.3">
      <c r="C58" cm="1" vm="111">
        <f t="array" ref="C58">_xlfn._xlws.PY(8,1,C57,F57,C57,D57)</f>
        <v>0.22996850699154994</v>
      </c>
      <c r="D58" cm="1" vm="112">
        <f t="array" ref="D58">_xlfn._xlws.PY(9,1,D57,F57,C57,D57)</f>
        <v>19.940116600047769</v>
      </c>
      <c r="E58" cm="1" vm="113">
        <f t="array" ref="E58">_xlfn._xlws.PY(7,1,C58,D58)</f>
        <v>26.047027900650853</v>
      </c>
      <c r="F58" s="2">
        <v>1.0000000000000001E-5</v>
      </c>
    </row>
    <row r="59" spans="3:6" x14ac:dyDescent="0.3">
      <c r="C59" cm="1" vm="114">
        <f t="array" ref="C59">_xlfn._xlws.PY(8,1,C58,F58,C58,D58)</f>
        <v>0.22991801139487444</v>
      </c>
      <c r="D59" cm="1" vm="115">
        <f t="array" ref="D59">_xlfn._xlws.PY(9,1,D58,F58,C58,D58)</f>
        <v>19.940112350215372</v>
      </c>
      <c r="E59" cm="1" vm="116">
        <f t="array" ref="E59">_xlfn._xlws.PY(7,1,C59,D59)</f>
        <v>26.046805131533343</v>
      </c>
      <c r="F59" s="2">
        <v>1.0000000000000001E-5</v>
      </c>
    </row>
    <row r="60" spans="3:6" x14ac:dyDescent="0.3">
      <c r="C60" cm="1" vm="117">
        <f t="array" ref="C60">_xlfn._xlws.PY(8,1,C59,F59,C59,D59)</f>
        <v>0.22988098232671961</v>
      </c>
      <c r="D60" cm="1" vm="118">
        <f t="array" ref="D60">_xlfn._xlws.PY(9,1,D59,F59,C59,D59)</f>
        <v>19.940108182733297</v>
      </c>
      <c r="E60" cm="1" vm="119">
        <f t="array" ref="E60">_xlfn._xlws.PY(7,1,C60,D60)</f>
        <v>26.046684578743125</v>
      </c>
      <c r="F60" s="2">
        <v>1.0000000000000001E-5</v>
      </c>
    </row>
    <row r="61" spans="3:6" x14ac:dyDescent="0.3">
      <c r="C61" cm="1" vm="120">
        <f t="array" ref="C61">_xlfn._xlws.PY(8,1,C60,F60,C60,D60)</f>
        <v>0.22985383014967722</v>
      </c>
      <c r="D61" cm="1" vm="121">
        <f t="array" ref="D61">_xlfn._xlws.PY(9,1,D60,F60,C60,D60)</f>
        <v>19.940104075650279</v>
      </c>
      <c r="E61" cm="1" vm="122">
        <f t="array" ref="E61">_xlfn._xlws.PY(7,1,C61,D61)</f>
        <v>26.046619011619473</v>
      </c>
      <c r="F61" s="2">
        <v>1.0000000000000001E-5</v>
      </c>
    </row>
    <row r="62" spans="3:6" x14ac:dyDescent="0.3">
      <c r="C62" cm="1" vm="123">
        <f t="array" ref="C62">_xlfn._xlws.PY(8,1,C61,F61,C61,D61)</f>
        <v>0.2298339220799708</v>
      </c>
      <c r="D62" cm="1" vm="124">
        <f t="array" ref="D62">_xlfn._xlws.PY(9,1,D61,F61,C61,D61)</f>
        <v>19.940100012866377</v>
      </c>
      <c r="E62" cm="1" vm="125">
        <f t="array" ref="E62">_xlfn._xlws.PY(7,1,C62,D62)</f>
        <v>26.046583023170868</v>
      </c>
      <c r="F62" s="2">
        <v>1.0000000000000001E-5</v>
      </c>
    </row>
    <row r="63" spans="3:6" x14ac:dyDescent="0.3">
      <c r="C63" cm="1" vm="126">
        <f t="array" ref="C63">_xlfn._xlws.PY(8,1,C62,F62,C62,D62)</f>
        <v>0.22981932712858238</v>
      </c>
      <c r="D63" cm="1" vm="127">
        <f t="array" ref="D63">_xlfn._xlws.PY(9,1,D62,F62,C62,D62)</f>
        <v>19.940095982573258</v>
      </c>
      <c r="E63" cm="1" vm="128">
        <f t="array" ref="E63">_xlfn._xlws.PY(7,1,C63,D63)</f>
        <v>26.046562946105606</v>
      </c>
      <c r="F63" s="2">
        <v>9.9999999999999995E-7</v>
      </c>
    </row>
    <row r="64" spans="3:6" x14ac:dyDescent="0.3">
      <c r="C64" cm="1" vm="129">
        <f t="array" ref="C64">_xlfn._xlws.PY(8,1,C63,F63,C63,D63)</f>
        <v>0.22981825731881059</v>
      </c>
      <c r="D64" cm="1" vm="130">
        <f t="array" ref="D64">_xlfn._xlws.PY(9,1,D63,F63,C63,D63)</f>
        <v>19.940095581926954</v>
      </c>
      <c r="E64" cm="1" vm="131">
        <f t="array" ref="E64">_xlfn._xlws.PY(7,1,C64,D64)</f>
        <v>26.046561656418373</v>
      </c>
      <c r="F64" s="2">
        <v>9.9999999999999995E-7</v>
      </c>
    </row>
    <row r="65" spans="3:6" x14ac:dyDescent="0.3">
      <c r="C65" cm="1" vm="132">
        <f t="array" ref="C65">_xlfn._xlws.PY(8,1,C64,F64,C64,D64)</f>
        <v>0.22981721609012359</v>
      </c>
      <c r="D65" cm="1" vm="133">
        <f t="array" ref="D65">_xlfn._xlws.PY(9,1,D64,F64,C64,D64)</f>
        <v>19.94009518145543</v>
      </c>
      <c r="E65" cm="1" vm="134">
        <f t="array" ref="E65">_xlfn._xlws.PY(7,1,C65,D65)</f>
        <v>26.046560426400905</v>
      </c>
      <c r="F65" s="2">
        <v>9.9999999999999995E-7</v>
      </c>
    </row>
    <row r="66" spans="3:6" x14ac:dyDescent="0.3">
      <c r="C66" cm="1" vm="135">
        <f t="array" ref="C66">_xlfn._xlws.PY(8,1,C65,F65,C65,D65)</f>
        <v>0.22981620268066411</v>
      </c>
      <c r="D66" cm="1" vm="136">
        <f t="array" ref="D66">_xlfn._xlws.PY(9,1,D65,F65,C65,D65)</f>
        <v>19.940094781154027</v>
      </c>
      <c r="E66" cm="1" vm="137">
        <f t="array" ref="E66">_xlfn._xlws.PY(7,1,C66,D66)</f>
        <v>26.046559252914488</v>
      </c>
      <c r="F66" s="2">
        <v>9.9999999999999995E-7</v>
      </c>
    </row>
    <row r="67" spans="3:6" x14ac:dyDescent="0.3">
      <c r="C67" cm="1" vm="138">
        <f t="array" ref="C67">_xlfn._xlws.PY(8,1,C66,F66,C66,D66)</f>
        <v>0.22981521634888288</v>
      </c>
      <c r="D67" cm="1" vm="139">
        <f t="array" ref="D67">_xlfn._xlws.PY(9,1,D66,F66,C66,D66)</f>
        <v>19.940094381018209</v>
      </c>
      <c r="E67" cm="1" vm="140">
        <f t="array" ref="E67">_xlfn._xlws.PY(7,1,C67,D67)</f>
        <v>26.046558132985506</v>
      </c>
      <c r="F67" s="2">
        <v>9.9999999999999995E-7</v>
      </c>
    </row>
    <row r="68" spans="3:6" x14ac:dyDescent="0.3">
      <c r="C68" cm="1" vm="141">
        <f t="array" ref="C68">_xlfn._xlws.PY(8,1,C67,F67,C67,D67)</f>
        <v>0.22981425637299743</v>
      </c>
      <c r="D68" cm="1" vm="142">
        <f t="array" ref="D68">_xlfn._xlws.PY(9,1,D67,F67,C67,D67)</f>
        <v>19.940093981043564</v>
      </c>
      <c r="E68" cm="1" vm="143">
        <f t="array" ref="E68">_xlfn._xlws.PY(7,1,C68,D68)</f>
        <v>26.046557063796762</v>
      </c>
      <c r="F68" s="2">
        <v>9.9999999999999995E-7</v>
      </c>
    </row>
    <row r="69" spans="3:6" x14ac:dyDescent="0.3">
      <c r="C69" cm="1" vm="144">
        <f t="array" ref="C69">_xlfn._xlws.PY(8,1,C68,F68,C68,D68)</f>
        <v>0.22981332205046509</v>
      </c>
      <c r="D69" cm="1" vm="145">
        <f t="array" ref="D69">_xlfn._xlws.PY(9,1,D68,F68,C68,D68)</f>
        <v>19.940093581225796</v>
      </c>
      <c r="E69" cm="1" vm="146">
        <f t="array" ref="E69">_xlfn._xlws.PY(7,1,C69,D69)</f>
        <v>26.046556042679246</v>
      </c>
      <c r="F69" s="2">
        <v>9.9999999999999995E-7</v>
      </c>
    </row>
    <row r="70" spans="3:6" x14ac:dyDescent="0.3">
      <c r="C70" cm="1" vm="147">
        <f t="array" ref="C70">_xlfn._xlws.PY(8,1,C69,F69,C69,D69)</f>
        <v>0.22981241269747013</v>
      </c>
      <c r="D70" cm="1" vm="148">
        <f t="array" ref="D70">_xlfn._xlws.PY(9,1,D69,F69,C69,D69)</f>
        <v>19.940093181560719</v>
      </c>
      <c r="E70" cm="1" vm="149">
        <f t="array" ref="E70">_xlfn._xlws.PY(7,1,C70,D70)</f>
        <v>26.046555067104336</v>
      </c>
      <c r="F70" s="2">
        <v>9.9999999999999995E-7</v>
      </c>
    </row>
    <row r="71" spans="3:6" x14ac:dyDescent="0.3">
      <c r="C71" cm="1" vm="150">
        <f t="array" ref="C71">_xlfn._xlws.PY(8,1,C70,F70,C70,D70)</f>
        <v>0.22981152764842466</v>
      </c>
      <c r="D71" cm="1" vm="151">
        <f t="array" ref="D71">_xlfn._xlws.PY(9,1,D70,F70,C70,D70)</f>
        <v>19.940092782044267</v>
      </c>
      <c r="E71" cm="1" vm="152">
        <f t="array" ref="E71">_xlfn._xlws.PY(7,1,C71,D71)</f>
        <v>26.046554134676434</v>
      </c>
      <c r="F71" s="2">
        <v>9.9999999999999995E-7</v>
      </c>
    </row>
    <row r="72" spans="3:6" x14ac:dyDescent="0.3">
      <c r="C72" cm="1" vm="153">
        <f t="array" ref="C72">_xlfn._xlws.PY(8,1,C71,F71,C71,D71)</f>
        <v>0.22981066625548269</v>
      </c>
      <c r="D72" cm="1" vm="154">
        <f t="array" ref="D72">_xlfn._xlws.PY(9,1,D71,F71,C71,D71)</f>
        <v>19.940092382672479</v>
      </c>
      <c r="E72" cm="1" vm="155">
        <f t="array" ref="E72">_xlfn._xlws.PY(7,1,C72,D72)</f>
        <v>26.046553243125935</v>
      </c>
      <c r="F72" s="2">
        <v>9.9999999999999995E-7</v>
      </c>
    </row>
    <row r="73" spans="3:6" x14ac:dyDescent="0.3">
      <c r="C73" cm="1" vm="156">
        <f t="array" ref="C73">_xlfn._xlws.PY(8,1,C72,F72,C72,D72)</f>
        <v>0.22980982788806717</v>
      </c>
      <c r="D73" cm="1" vm="157">
        <f t="array" ref="D73">_xlfn._xlws.PY(9,1,D72,F72,C72,D72)</f>
        <v>19.940091983441498</v>
      </c>
      <c r="E73" cm="1" vm="158">
        <f t="array" ref="E73">_xlfn._xlws.PY(7,1,C73,D73)</f>
        <v>26.046552390302637</v>
      </c>
      <c r="F73" s="2">
        <v>9.9999999999999995E-7</v>
      </c>
    </row>
    <row r="74" spans="3:6" x14ac:dyDescent="0.3">
      <c r="C74" cm="1" vm="159">
        <f t="array" ref="C74">_xlfn._xlws.PY(8,1,C73,F73,C73,D73)</f>
        <v>0.22980901193240977</v>
      </c>
      <c r="D74" cm="1" vm="160">
        <f t="array" ref="D74">_xlfn._xlws.PY(9,1,D73,F73,C73,D73)</f>
        <v>19.94009158434757</v>
      </c>
      <c r="E74" cm="1" vm="161">
        <f t="array" ref="E74">_xlfn._xlws.PY(7,1,C74,D74)</f>
        <v>26.046551574169431</v>
      </c>
      <c r="F74" s="2">
        <v>9.9999999999999995E-7</v>
      </c>
    </row>
    <row r="75" spans="3:6" x14ac:dyDescent="0.3">
      <c r="C75" cm="1" vm="162">
        <f t="array" ref="C75">_xlfn._xlws.PY(8,1,C74,F74,C74,D74)</f>
        <v>0.22980821779110272</v>
      </c>
      <c r="D75" cm="1" vm="163">
        <f t="array" ref="D75">_xlfn._xlws.PY(9,1,D74,F74,C74,D74)</f>
        <v>19.94009118538704</v>
      </c>
      <c r="E75" cm="1" vm="164">
        <f t="array" ref="E75">_xlfn._xlws.PY(7,1,C75,D75)</f>
        <v>26.04655079279636</v>
      </c>
      <c r="F75" s="2">
        <v>9.9999999999999995E-7</v>
      </c>
    </row>
    <row r="76" spans="3:6" x14ac:dyDescent="0.3">
      <c r="C76" cm="1" vm="165">
        <f t="array" ref="C76">_xlfn._xlws.PY(8,1,C75,F75,C75,D75)</f>
        <v>0.2298074448826628</v>
      </c>
      <c r="D76" cm="1" vm="166">
        <f t="array" ref="D76">_xlfn._xlws.PY(9,1,D75,F75,C75,D75)</f>
        <v>19.940090786556354</v>
      </c>
      <c r="E76" cm="1" vm="167">
        <f t="array" ref="E76">_xlfn._xlws.PY(7,1,C76,D76)</f>
        <v>26.046550044354994</v>
      </c>
      <c r="F76" s="2">
        <v>9.9999999999999995E-7</v>
      </c>
    </row>
    <row r="77" spans="3:6" x14ac:dyDescent="0.3">
      <c r="C77" cm="1" vm="168">
        <f t="array" ref="C77">_xlfn._xlws.PY(8,1,C76,F76,C76,D76)</f>
        <v>0.22980669264110673</v>
      </c>
      <c r="D77" cm="1" vm="169">
        <f t="array" ref="D77">_xlfn._xlws.PY(9,1,D76,F76,C76,D76)</f>
        <v>19.940090387852052</v>
      </c>
      <c r="E77" cm="1" vm="170">
        <f t="array" ref="E77">_xlfn._xlws.PY(7,1,C77,D77)</f>
        <v>26.04654932711308</v>
      </c>
      <c r="F77" s="2">
        <v>9.9999999999999995E-7</v>
      </c>
    </row>
    <row r="78" spans="3:6" x14ac:dyDescent="0.3">
      <c r="C78" cm="1" vm="171">
        <f t="array" ref="C78">_xlfn._xlws.PY(8,1,C77,F77,C77,D77)</f>
        <v>0.22980596051553814</v>
      </c>
      <c r="D78" cm="1" vm="172">
        <f t="array" ref="D78">_xlfn._xlws.PY(9,1,D77,F77,C77,D77)</f>
        <v>19.940089989270763</v>
      </c>
      <c r="E78" cm="1" vm="173">
        <f t="array" ref="E78">_xlfn._xlws.PY(7,1,C78,D78)</f>
        <v>26.046548639429478</v>
      </c>
      <c r="F78" s="2">
        <v>9.9999999999999995E-7</v>
      </c>
    </row>
    <row r="79" spans="3:6" x14ac:dyDescent="0.3">
      <c r="C79" cm="1" vm="174">
        <f t="array" ref="C79">_xlfn._xlws.PY(8,1,C78,F78,C78,D78)</f>
        <v>0.22980524796974533</v>
      </c>
      <c r="D79" cm="1" vm="175">
        <f t="array" ref="D79">_xlfn._xlws.PY(9,1,D78,F78,C78,D78)</f>
        <v>19.940089590809212</v>
      </c>
      <c r="E79" cm="1" vm="176">
        <f t="array" ref="E79">_xlfn._xlws.PY(7,1,C79,D79)</f>
        <v>26.046547979749381</v>
      </c>
      <c r="F79" s="2">
        <v>9.9999999999999995E-7</v>
      </c>
    </row>
    <row r="80" spans="3:6" x14ac:dyDescent="0.3">
      <c r="C80" cm="1" vm="177">
        <f t="array" ref="C80">_xlfn._xlws.PY(8,1,C79,F79,C79,D79)</f>
        <v>0.22980455448180986</v>
      </c>
      <c r="D80" cm="1" vm="178">
        <f t="array" ref="D80">_xlfn._xlws.PY(9,1,D79,F79,C79,D79)</f>
        <v>19.940089192464203</v>
      </c>
      <c r="E80" cm="1" vm="179">
        <f t="array" ref="E80">_xlfn._xlws.PY(7,1,C80,D80)</f>
        <v>26.046547346599759</v>
      </c>
      <c r="F80" s="2">
        <v>9.9999999999999995E-7</v>
      </c>
    </row>
    <row r="81" spans="3:6" x14ac:dyDescent="0.3">
      <c r="C81" cm="1" vm="180">
        <f t="array" ref="C81">_xlfn._xlws.PY(8,1,C80,F80,C80,D80)</f>
        <v>0.22980387954372555</v>
      </c>
      <c r="D81" cm="1" vm="181">
        <f t="array" ref="D81">_xlfn._xlws.PY(9,1,D80,F80,C80,D80)</f>
        <v>19.940088794232629</v>
      </c>
      <c r="E81" cm="1" vm="182">
        <f t="array" ref="E81">_xlfn._xlws.PY(7,1,C81,D81)</f>
        <v>26.046546738585075</v>
      </c>
      <c r="F81" s="2">
        <v>9.9999999999999995E-7</v>
      </c>
    </row>
    <row r="82" spans="3:6" x14ac:dyDescent="0.3">
      <c r="C82" cm="1" vm="183">
        <f t="array" ref="C82">_xlfn._xlws.PY(8,1,C81,F81,C81,D81)</f>
        <v>0.22980322266102762</v>
      </c>
      <c r="D82" cm="1" vm="184">
        <f t="array" ref="D82">_xlfn._xlws.PY(9,1,D81,F81,C81,D81)</f>
        <v>19.94008839611147</v>
      </c>
      <c r="E82" cm="1" vm="185">
        <f t="array" ref="E82">_xlfn._xlws.PY(7,1,C82,D82)</f>
        <v>26.046546154383194</v>
      </c>
      <c r="F82" s="2">
        <v>9.9999999999999995E-7</v>
      </c>
    </row>
    <row r="83" spans="3:6" x14ac:dyDescent="0.3">
      <c r="C83" cm="1" vm="186">
        <f t="array" ref="C83">_xlfn._xlws.PY(8,1,C82,F82,C82,D82)</f>
        <v>0.22980258335243176</v>
      </c>
      <c r="D83" cm="1" vm="187">
        <f t="array" ref="D83">_xlfn._xlws.PY(9,1,D82,F82,C82,D82)</f>
        <v>19.940087998097781</v>
      </c>
      <c r="E83" cm="1" vm="188">
        <f t="array" ref="E83">_xlfn._xlws.PY(7,1,C83,D83)</f>
        <v>26.046545592741523</v>
      </c>
      <c r="F83" s="2">
        <v>9.9999999999999995E-7</v>
      </c>
    </row>
    <row r="84" spans="3:6" x14ac:dyDescent="0.3">
      <c r="C84" cm="1" vm="189">
        <f t="array" ref="C84">_xlfn._xlws.PY(8,1,C83,F83,C83,D83)</f>
        <v>0.22980196114948276</v>
      </c>
      <c r="D84" cm="1" vm="190">
        <f t="array" ref="D84">_xlfn._xlws.PY(9,1,D83,F83,C83,D83)</f>
        <v>19.940087600188697</v>
      </c>
      <c r="E84" cm="1" vm="191">
        <f t="array" ref="E84">_xlfn._xlws.PY(7,1,C84,D84)</f>
        <v>26.046545052473373</v>
      </c>
      <c r="F84" s="2">
        <v>9.9999999999999995E-7</v>
      </c>
    </row>
    <row r="85" spans="3:6" x14ac:dyDescent="0.3">
      <c r="C85" cm="1" vm="192">
        <f t="array" ref="C85">_xlfn._xlws.PY(8,1,C84,F84,C84,D84)</f>
        <v>0.22980135559621254</v>
      </c>
      <c r="D85" cm="1" vm="193">
        <f t="array" ref="D85">_xlfn._xlws.PY(9,1,D84,F84,C84,D84)</f>
        <v>19.940087202381431</v>
      </c>
      <c r="E85" cm="1" vm="194">
        <f t="array" ref="E85">_xlfn._xlws.PY(7,1,C85,D85)</f>
        <v>26.046544532454458</v>
      </c>
      <c r="F85" s="2">
        <v>9.9999999999999995E-7</v>
      </c>
    </row>
    <row r="86" spans="3:6" x14ac:dyDescent="0.3">
      <c r="C86" cm="1" vm="195">
        <f t="array" ref="C86">_xlfn._xlws.PY(8,1,C85,F85,C85,D85)</f>
        <v>0.22980076624880733</v>
      </c>
      <c r="D86" cm="1" vm="196">
        <f t="array" ref="D86">_xlfn._xlws.PY(9,1,D85,F85,C85,D85)</f>
        <v>19.940086804673268</v>
      </c>
      <c r="E86" cm="1" vm="197">
        <f t="array" ref="E86">_xlfn._xlws.PY(7,1,C86,D86)</f>
        <v>26.046544031619639</v>
      </c>
      <c r="F86" s="2">
        <v>9.9999999999999995E-7</v>
      </c>
    </row>
    <row r="87" spans="3:6" x14ac:dyDescent="0.3">
      <c r="C87" cm="1" vm="198">
        <f t="array" ref="C87">_xlfn._xlws.PY(8,1,C86,F86,C86,D86)</f>
        <v>0.22980019267528362</v>
      </c>
      <c r="D87" cm="1" vm="199">
        <f t="array" ref="D87">_xlfn._xlws.PY(9,1,D86,F86,C86,D86)</f>
        <v>19.940086407061564</v>
      </c>
      <c r="E87" cm="1" vm="200">
        <f t="array" ref="E87">_xlfn._xlws.PY(7,1,C87,D87)</f>
        <v>26.046543548959807</v>
      </c>
      <c r="F87" s="2">
        <v>9.9999999999999995E-7</v>
      </c>
    </row>
    <row r="88" spans="3:6" x14ac:dyDescent="0.3">
      <c r="C88" cm="1" vm="201">
        <f t="array" ref="C88">_xlfn._xlws.PY(8,1,C87,F87,C87,D87)</f>
        <v>0.2297996344551729</v>
      </c>
      <c r="D88" cm="1" vm="202">
        <f t="array" ref="D88">_xlfn._xlws.PY(9,1,D87,F87,C87,D87)</f>
        <v>19.940086009543752</v>
      </c>
      <c r="E88" cm="1" vm="203">
        <f t="array" ref="E88">_xlfn._xlws.PY(7,1,C88,D88)</f>
        <v>26.04654308351893</v>
      </c>
      <c r="F88" s="2">
        <v>9.9999999999999995E-7</v>
      </c>
    </row>
    <row r="89" spans="3:6" x14ac:dyDescent="0.3">
      <c r="C89" cm="1" vm="204">
        <f t="array" ref="C89">_xlfn._xlws.PY(8,1,C88,F88,C88,D88)</f>
        <v>0.22979909117921463</v>
      </c>
      <c r="D89" cm="1" vm="205">
        <f t="array" ref="D89">_xlfn._xlws.PY(9,1,D88,F88,C88,D88)</f>
        <v>19.940085612117326</v>
      </c>
      <c r="E89" cm="1" vm="206">
        <f t="array" ref="E89">_xlfn._xlws.PY(7,1,C89,D89)</f>
        <v>26.046542634391269</v>
      </c>
      <c r="F89" s="2">
        <v>9.9999999999999995E-7</v>
      </c>
    </row>
    <row r="90" spans="3:6" x14ac:dyDescent="0.3">
      <c r="C90" cm="1" vm="207">
        <f t="array" ref="C90">_xlfn._xlws.PY(8,1,C89,F89,C89,D89)</f>
        <v>0.22979856244905753</v>
      </c>
      <c r="D90" cm="1" vm="208">
        <f t="array" ref="D90">_xlfn._xlws.PY(9,1,D89,F89,C89,D89)</f>
        <v>19.940085214779852</v>
      </c>
      <c r="E90" cm="1" vm="209">
        <f t="array" ref="E90">_xlfn._xlws.PY(7,1,C90,D90)</f>
        <v>26.046542200718719</v>
      </c>
      <c r="F90" s="2">
        <v>9.9999999999999995E-7</v>
      </c>
    </row>
    <row r="91" spans="3:6" x14ac:dyDescent="0.3">
      <c r="C91" cm="1" vm="210">
        <f t="array" ref="C91">_xlfn._xlws.PY(8,1,C90,F90,C90,D90)</f>
        <v>0.22979804787696878</v>
      </c>
      <c r="D91" cm="1" vm="211">
        <f t="array" ref="D91">_xlfn._xlws.PY(9,1,D90,F90,C90,D90)</f>
        <v>19.940084817528959</v>
      </c>
      <c r="E91" cm="1" vm="212">
        <f t="array" ref="E91">_xlfn._xlws.PY(7,1,C91,D91)</f>
        <v>26.046541781688326</v>
      </c>
      <c r="F91" s="2">
        <v>9.9999999999999995E-7</v>
      </c>
    </row>
    <row r="92" spans="3:6" x14ac:dyDescent="0.3">
      <c r="C92" cm="1" vm="213">
        <f t="array" ref="C92">_xlfn._xlws.PY(8,1,C91,F91,C91,D91)</f>
        <v>0.22979754708555095</v>
      </c>
      <c r="D92" cm="1" vm="214">
        <f t="array" ref="D92">_xlfn._xlws.PY(9,1,D91,F91,C91,D91)</f>
        <v>19.940084420362336</v>
      </c>
      <c r="E92" cm="1" vm="215">
        <f t="array" ref="E92">_xlfn._xlws.PY(7,1,C92,D92)</f>
        <v>26.046541376529888</v>
      </c>
      <c r="F92" s="2">
        <v>9.9999999999999995E-7</v>
      </c>
    </row>
    <row r="93" spans="3:6" x14ac:dyDescent="0.3">
      <c r="C93" cm="1" vm="216">
        <f t="array" ref="C93">_xlfn._xlws.PY(8,1,C92,F92,C92,D92)</f>
        <v>0.22979705970746653</v>
      </c>
      <c r="D93" cm="1" vm="217">
        <f t="array" ref="D93">_xlfn._xlws.PY(9,1,D92,F92,C92,D92)</f>
        <v>19.940084023277741</v>
      </c>
      <c r="E93" cm="1" vm="218">
        <f t="array" ref="E93">_xlfn._xlws.PY(7,1,C93,D93)</f>
        <v>26.046540984513719</v>
      </c>
      <c r="F93" s="2">
        <v>9.9999999999999995E-7</v>
      </c>
    </row>
    <row r="94" spans="3:6" x14ac:dyDescent="0.3">
      <c r="C94" cm="1" vm="219">
        <f t="array" ref="C94">_xlfn._xlws.PY(8,1,C93,F93,C93,D93)</f>
        <v>0.22979658538516973</v>
      </c>
      <c r="D94" cm="1" vm="220">
        <f t="array" ref="D94">_xlfn._xlws.PY(9,1,D93,F93,C93,D93)</f>
        <v>19.940083626272987</v>
      </c>
      <c r="E94" cm="1" vm="221">
        <f t="array" ref="E94">_xlfn._xlws.PY(7,1,C94,D94)</f>
        <v>26.046540604948518</v>
      </c>
      <c r="F94" s="2">
        <v>9.9999999999999995E-7</v>
      </c>
    </row>
    <row r="95" spans="3:6" x14ac:dyDescent="0.3">
      <c r="C95" cm="1" vm="222">
        <f t="array" ref="C95">_xlfn._xlws.PY(8,1,C94,F94,C94,D94)</f>
        <v>0.22979612377064554</v>
      </c>
      <c r="D95" cm="1" vm="223">
        <f t="array" ref="D95">_xlfn._xlws.PY(9,1,D94,F94,C94,D94)</f>
        <v>19.940083229345944</v>
      </c>
      <c r="E95" cm="1" vm="224">
        <f t="array" ref="E95">_xlfn._xlws.PY(7,1,C95,D95)</f>
        <v>26.046540237179343</v>
      </c>
      <c r="F95" s="2">
        <v>9.9999999999999995E-7</v>
      </c>
    </row>
    <row r="96" spans="3:6" x14ac:dyDescent="0.3">
      <c r="C96" cm="1" vm="225">
        <f t="array" ref="C96">_xlfn._xlws.PY(8,1,C95,F95,C95,D95)</f>
        <v>0.22979567452515559</v>
      </c>
      <c r="D96" cm="1" vm="226">
        <f t="array" ref="D96">_xlfn._xlws.PY(9,1,D95,F95,C95,D95)</f>
        <v>19.940082832494539</v>
      </c>
      <c r="E96" cm="1" vm="227">
        <f t="array" ref="E96">_xlfn._xlws.PY(7,1,C96,D96)</f>
        <v>26.046539880585712</v>
      </c>
      <c r="F96" s="2">
        <v>9.9999999999999995E-7</v>
      </c>
    </row>
    <row r="97" spans="3:6" x14ac:dyDescent="0.3">
      <c r="C97" cm="1" vm="228">
        <f t="array" ref="C97">_xlfn._xlws.PY(8,1,C96,F96,C96,D96)</f>
        <v>0.22979523731899096</v>
      </c>
      <c r="D97" cm="1" vm="229">
        <f t="array" ref="D97">_xlfn._xlws.PY(9,1,D96,F96,C96,D96)</f>
        <v>19.940082435716761</v>
      </c>
      <c r="E97" cm="1" vm="230">
        <f t="array" ref="E97">_xlfn._xlws.PY(7,1,C97,D97)</f>
        <v>26.046539534579772</v>
      </c>
      <c r="F97" s="2">
        <v>9.9999999999999995E-7</v>
      </c>
    </row>
    <row r="98" spans="3:6" x14ac:dyDescent="0.3">
      <c r="C98" cm="1" vm="231">
        <f t="array" ref="C98">_xlfn._xlws.PY(8,1,C97,F97,C97,D97)</f>
        <v>0.22979481183123143</v>
      </c>
      <c r="D98" cm="1" vm="232">
        <f t="array" ref="D98">_xlfn._xlws.PY(9,1,D97,F97,C97,D97)</f>
        <v>19.94008203901064</v>
      </c>
      <c r="E98" cm="1" vm="233">
        <f t="array" ref="E98">_xlfn._xlws.PY(7,1,C98,D98)</f>
        <v>26.046539198604595</v>
      </c>
      <c r="F98" s="2">
        <v>9.9999999999999995E-7</v>
      </c>
    </row>
    <row r="99" spans="3:6" x14ac:dyDescent="0.3">
      <c r="C99" cm="1" vm="234">
        <f t="array" ref="C99">_xlfn._xlws.PY(8,1,C98,F98,C98,D98)</f>
        <v>0.22979439774951121</v>
      </c>
      <c r="D99" cm="1" vm="235">
        <f t="array" ref="D99">_xlfn._xlws.PY(9,1,D98,F98,C98,D98)</f>
        <v>19.940081642374274</v>
      </c>
      <c r="E99" cm="1" vm="236">
        <f t="array" ref="E99">_xlfn._xlws.PY(7,1,C99,D99)</f>
        <v>26.046538872132547</v>
      </c>
      <c r="F99" s="2">
        <v>9.9999999999999995E-7</v>
      </c>
    </row>
    <row r="100" spans="3:6" x14ac:dyDescent="0.3">
      <c r="C100" cm="1" vm="237">
        <f t="array" ref="C100">_xlfn._xlws.PY(8,1,C99,F99,C99,D99)</f>
        <v>0.22979399476979098</v>
      </c>
      <c r="D100" cm="1" vm="238">
        <f t="array" ref="D100">_xlfn._xlws.PY(9,1,D99,F99,C99,D99)</f>
        <v>19.9400812458058</v>
      </c>
      <c r="E100" cm="1" vm="239">
        <f t="array" ref="E100">_xlfn._xlws.PY(7,1,C100,D100)</f>
        <v>26.046538554663751</v>
      </c>
      <c r="F100" s="2">
        <v>9.9999999999999995E-7</v>
      </c>
    </row>
    <row r="101" spans="3:6" x14ac:dyDescent="0.3">
      <c r="C101" cm="1" vm="240">
        <f t="array" ref="C101">_xlfn._xlws.PY(8,1,C100,F100,C100,D100)</f>
        <v>0.22979360259613585</v>
      </c>
      <c r="D101" cm="1" vm="241">
        <f t="array" ref="D101">_xlfn._xlws.PY(9,1,D100,F100,C100,D100)</f>
        <v>19.940080849303406</v>
      </c>
      <c r="E101" cm="1" vm="242">
        <f t="array" ref="E101">_xlfn._xlws.PY(7,1,C101,D101)</f>
        <v>26.046538245724626</v>
      </c>
      <c r="F101" s="2">
        <v>9.9999999999999995E-7</v>
      </c>
    </row>
    <row r="102" spans="3:6" x14ac:dyDescent="0.3">
      <c r="C102" cm="1" vm="243">
        <f t="array" ref="C102">_xlfn._xlws.PY(8,1,C101,F101,C101,D101)</f>
        <v>0.22979322094049939</v>
      </c>
      <c r="D102" cm="1" vm="244">
        <f t="array" ref="D102">_xlfn._xlws.PY(9,1,D101,F101,C101,D101)</f>
        <v>19.940080452865335</v>
      </c>
      <c r="E102" cm="1" vm="245">
        <f t="array" ref="E102">_xlfn._xlws.PY(7,1,C102,D102)</f>
        <v>26.046537944866493</v>
      </c>
      <c r="F102" s="2">
        <v>9.9999999999999995E-7</v>
      </c>
    </row>
    <row r="103" spans="3:6" x14ac:dyDescent="0.3">
      <c r="C103" cm="1" vm="246">
        <f t="array" ref="C103">_xlfn._xlws.PY(8,1,C102,F102,C102,D102)</f>
        <v>0.22979284952251333</v>
      </c>
      <c r="D103" cm="1" vm="247">
        <f t="array" ref="D103">_xlfn._xlws.PY(9,1,D102,F102,C102,D102)</f>
        <v>19.940080056489869</v>
      </c>
      <c r="E103" cm="1" vm="248">
        <f t="array" ref="E103">_xlfn._xlws.PY(7,1,C103,D103)</f>
        <v>26.046537651664284</v>
      </c>
      <c r="F103" s="2">
        <v>9.9999999999999995E-7</v>
      </c>
    </row>
    <row r="104" spans="3:6" x14ac:dyDescent="0.3">
      <c r="C104" cm="1" vm="249">
        <f t="array" ref="C104">_xlfn._xlws.PY(8,1,C103,F103,C103,D103)</f>
        <v>0.2297924880692829</v>
      </c>
      <c r="D104" cm="1" vm="250">
        <f t="array" ref="D104">_xlfn._xlws.PY(9,1,D103,F103,C103,D103)</f>
        <v>19.940079660175339</v>
      </c>
      <c r="E104" cm="1" vm="251">
        <f t="array" ref="E104">_xlfn._xlws.PY(7,1,C104,D104)</f>
        <v>26.046537365715288</v>
      </c>
      <c r="F104" s="2">
        <v>9.9999999999999995E-7</v>
      </c>
    </row>
    <row r="105" spans="3:6" x14ac:dyDescent="0.3">
      <c r="C105" cm="1" vm="252">
        <f t="array" ref="C105">_xlfn._xlws.PY(8,1,C104,F104,C104,D104)</f>
        <v>0.22979213631518758</v>
      </c>
      <c r="D105" cm="1" vm="253">
        <f t="array" ref="D105">_xlfn._xlws.PY(9,1,D104,F104,C104,D104)</f>
        <v>19.940079263920122</v>
      </c>
      <c r="E105" cm="1" vm="254">
        <f t="array" ref="E105">_xlfn._xlws.PY(7,1,C105,D105)</f>
        <v>26.046537086637969</v>
      </c>
      <c r="F105" s="2">
        <v>9.9999999999999995E-7</v>
      </c>
    </row>
    <row r="106" spans="3:6" x14ac:dyDescent="0.3">
      <c r="C106" cm="1" vm="255">
        <f t="array" ref="C106">_xlfn._xlws.PY(8,1,C105,F105,C105,D105)</f>
        <v>0.22979179400168728</v>
      </c>
      <c r="D106" cm="1" vm="256">
        <f t="array" ref="D106">_xlfn._xlws.PY(9,1,D105,F105,C105,D105)</f>
        <v>19.94007886772264</v>
      </c>
      <c r="E106" cm="1" vm="257">
        <f t="array" ref="E106">_xlfn._xlws.PY(7,1,C106,D106)</f>
        <v>26.046536814070873</v>
      </c>
      <c r="F106" s="2">
        <v>9.9999999999999995E-7</v>
      </c>
    </row>
    <row r="107" spans="3:6" x14ac:dyDescent="0.3">
      <c r="C107" cm="1" vm="258">
        <f t="array" ref="C107">_xlfn._xlws.PY(8,1,C106,F106,C106,D106)</f>
        <v>0.22979146087713351</v>
      </c>
      <c r="D107" cm="1" vm="259">
        <f t="array" ref="D107">_xlfn._xlws.PY(9,1,D106,F106,C106,D106)</f>
        <v>19.940078471581351</v>
      </c>
      <c r="E107" cm="1" vm="260">
        <f t="array" ref="E107">_xlfn._xlws.PY(7,1,C107,D107)</f>
        <v>26.04653654767155</v>
      </c>
      <c r="F107" s="2">
        <v>9.9999999999999995E-7</v>
      </c>
    </row>
    <row r="108" spans="3:6" x14ac:dyDescent="0.3">
      <c r="C108" cm="1" vm="261">
        <f t="array" ref="C108">_xlfn._xlws.PY(8,1,C107,F107,C107,D107)</f>
        <v>0.22979113669658574</v>
      </c>
      <c r="D108" cm="1" vm="262">
        <f t="array" ref="D108">_xlfn._xlws.PY(9,1,D107,F107,C107,D107)</f>
        <v>19.940078075494757</v>
      </c>
      <c r="E108" cm="1" vm="263">
        <f t="array" ref="E108">_xlfn._xlws.PY(7,1,C108,D108)</f>
        <v>26.046536287115568</v>
      </c>
      <c r="F108" s="2">
        <v>9.9999999999999995E-7</v>
      </c>
    </row>
    <row r="109" spans="3:6" x14ac:dyDescent="0.3">
      <c r="C109" cm="1" vm="264">
        <f t="array" ref="C109">_xlfn._xlws.PY(8,1,C108,F108,C108,D108)</f>
        <v>0.22979082122163261</v>
      </c>
      <c r="D109" cm="1" vm="265">
        <f t="array" ref="D109">_xlfn._xlws.PY(9,1,D108,F108,C108,D108)</f>
        <v>19.9400776794614</v>
      </c>
      <c r="E109" cm="1" vm="266">
        <f t="array" ref="E109">_xlfn._xlws.PY(7,1,C109,D109)</f>
        <v>26.04653603209556</v>
      </c>
      <c r="F109" s="2">
        <v>9.9999999999999995E-7</v>
      </c>
    </row>
    <row r="110" spans="3:6" x14ac:dyDescent="0.3">
      <c r="C110" cm="1" vm="267">
        <f t="array" ref="C110">_xlfn._xlws.PY(8,1,C109,F109,C109,D109)</f>
        <v>0.22979051422021779</v>
      </c>
      <c r="D110" cm="1" vm="268">
        <f t="array" ref="D110">_xlfn._xlws.PY(9,1,D109,F109,C109,D109)</f>
        <v>19.940077283479862</v>
      </c>
      <c r="E110" cm="1" vm="269">
        <f t="array" ref="E110">_xlfn._xlws.PY(7,1,C110,D110)</f>
        <v>26.046535782320319</v>
      </c>
      <c r="F110" s="2">
        <v>9.9999999999999995E-7</v>
      </c>
    </row>
    <row r="111" spans="3:6" x14ac:dyDescent="0.3">
      <c r="C111" cm="1" vm="270">
        <f t="array" ref="C111">_xlfn._xlws.PY(8,1,C110,F110,C110,D110)</f>
        <v>0.22979021546647066</v>
      </c>
      <c r="D111" cm="1" vm="271">
        <f t="array" ref="D111">_xlfn._xlws.PY(9,1,D110,F110,C110,D110)</f>
        <v>19.940076887548759</v>
      </c>
      <c r="E111" cm="1" vm="272">
        <f t="array" ref="E111">_xlfn._xlws.PY(7,1,C111,D111)</f>
        <v>26.046535537513972</v>
      </c>
      <c r="F111" s="2">
        <v>9.9999999999999995E-7</v>
      </c>
    </row>
    <row r="112" spans="3:6" x14ac:dyDescent="0.3">
      <c r="C112" cm="1" vm="273">
        <f t="array" ref="C112">_xlfn._xlws.PY(8,1,C111,F111,C111,D111)</f>
        <v>0.22978992474054144</v>
      </c>
      <c r="D112" cm="1" vm="274">
        <f t="array" ref="D112">_xlfn._xlws.PY(9,1,D111,F111,C111,D111)</f>
        <v>19.940076491666751</v>
      </c>
      <c r="E112" cm="1" vm="275">
        <f t="array" ref="E112">_xlfn._xlws.PY(7,1,C112,D112)</f>
        <v>26.04653529741514</v>
      </c>
      <c r="F112" s="2">
        <v>9.9999999999999995E-7</v>
      </c>
    </row>
    <row r="113" spans="3:6" x14ac:dyDescent="0.3">
      <c r="C113" cm="1" vm="276">
        <f t="array" ref="C113">_xlfn._xlws.PY(8,1,C112,F112,C112,D112)</f>
        <v>0.22978964182844064</v>
      </c>
      <c r="D113" cm="1" vm="277">
        <f t="array" ref="D113">_xlfn._xlws.PY(9,1,D112,F112,C112,D112)</f>
        <v>19.940076095832527</v>
      </c>
      <c r="E113" cm="1" vm="278">
        <f t="array" ref="E113">_xlfn._xlws.PY(7,1,C113,D113)</f>
        <v>26.046535061776204</v>
      </c>
      <c r="F113" s="2">
        <v>9.9999999999999995E-7</v>
      </c>
    </row>
    <row r="114" spans="3:6" x14ac:dyDescent="0.3">
      <c r="C114" cm="1" vm="279">
        <f t="array" ref="C114">_xlfn._xlws.PY(8,1,C113,F113,C113,D113)</f>
        <v>0.22978936652188284</v>
      </c>
      <c r="D114" cm="1" vm="280">
        <f t="array" ref="D114">_xlfn._xlws.PY(9,1,D113,F113,C113,D113)</f>
        <v>19.940075700044812</v>
      </c>
      <c r="E114" cm="1" vm="281">
        <f t="array" ref="E114">_xlfn._xlws.PY(7,1,C114,D114)</f>
        <v>26.046534830362567</v>
      </c>
      <c r="F114" s="2">
        <v>9.9999999999999995E-7</v>
      </c>
    </row>
    <row r="115" spans="3:6" x14ac:dyDescent="0.3">
      <c r="C115" cm="1" vm="282">
        <f t="array" ref="C115">_xlfn._xlws.PY(8,1,C114,F114,C114,D114)</f>
        <v>0.22978909861813474</v>
      </c>
      <c r="D115" cm="1" vm="283">
        <f t="array" ref="D115">_xlfn._xlws.PY(9,1,D114,F114,C114,D114)</f>
        <v>19.940075304302368</v>
      </c>
      <c r="E115" cm="1" vm="284">
        <f t="array" ref="E115">_xlfn._xlws.PY(7,1,C115,D115)</f>
        <v>26.046534602951976</v>
      </c>
      <c r="F115" s="2">
        <v>9.9999999999999995E-7</v>
      </c>
    </row>
    <row r="116" spans="3:6" x14ac:dyDescent="0.3">
      <c r="C116" cm="1" vm="285">
        <f t="array" ref="C116">_xlfn._xlws.PY(8,1,C115,F115,C115,D115)</f>
        <v>0.22978883791986707</v>
      </c>
      <c r="D116" cm="1" vm="286">
        <f t="array" ref="D116">_xlfn._xlws.PY(9,1,D115,F115,C115,D115)</f>
        <v>19.940074908603989</v>
      </c>
      <c r="E116" cm="1" vm="287">
        <f t="array" ref="E116">_xlfn._xlws.PY(7,1,C116,D116)</f>
        <v>26.04653437933386</v>
      </c>
      <c r="F116" s="2">
        <v>9.9999999999999995E-7</v>
      </c>
    </row>
    <row r="117" spans="3:6" x14ac:dyDescent="0.3">
      <c r="C117" cm="1" vm="288">
        <f t="array" ref="C117">_xlfn._xlws.PY(8,1,C116,F116,C116,D116)</f>
        <v>0.22978858423501056</v>
      </c>
      <c r="D117" cm="1" vm="289">
        <f t="array" ref="D117">_xlfn._xlws.PY(9,1,D116,F116,C116,D116)</f>
        <v>19.940074512948499</v>
      </c>
      <c r="E117" cm="1" vm="290">
        <f t="array" ref="E117">_xlfn._xlws.PY(7,1,C117,D117)</f>
        <v>26.046534159308731</v>
      </c>
      <c r="F117" s="2">
        <v>9.9999999999999995E-7</v>
      </c>
    </row>
    <row r="118" spans="3:6" x14ac:dyDescent="0.3">
      <c r="C118" cm="1" vm="291">
        <f t="array" ref="C118">_xlfn._xlws.PY(8,1,C117,F117,C117,D117)</f>
        <v>0.22978833737661575</v>
      </c>
      <c r="D118" cm="1" vm="292">
        <f t="array" ref="D118">_xlfn._xlws.PY(9,1,D117,F117,C117,D117)</f>
        <v>19.940074117334756</v>
      </c>
      <c r="E118" cm="1" vm="293">
        <f t="array" ref="E118">_xlfn._xlws.PY(7,1,C118,D118)</f>
        <v>26.046533942687592</v>
      </c>
      <c r="F118" s="2">
        <v>9.9999999999999995E-7</v>
      </c>
    </row>
    <row r="119" spans="3:6" x14ac:dyDescent="0.3">
      <c r="C119" cm="1" vm="294">
        <f t="array" ref="C119">_xlfn._xlws.PY(8,1,C118,F118,C118,D118)</f>
        <v>0.22978809716271648</v>
      </c>
      <c r="D119" cm="1" vm="295">
        <f t="array" ref="D119">_xlfn._xlws.PY(9,1,D118,F118,C118,D118)</f>
        <v>19.940073721761646</v>
      </c>
      <c r="E119" cm="1" vm="296">
        <f t="array" ref="E119">_xlfn._xlws.PY(7,1,C119,D119)</f>
        <v>26.04653372929139</v>
      </c>
      <c r="F119" s="2">
        <v>9.9999999999999995E-7</v>
      </c>
    </row>
    <row r="120" spans="3:6" x14ac:dyDescent="0.3">
      <c r="C120" cm="1" vm="297">
        <f t="array" ref="C120">_xlfn._xlws.PY(8,1,C119,F119,C119,D119)</f>
        <v>0.22978786341619711</v>
      </c>
      <c r="D120" cm="1" vm="298">
        <f t="array" ref="D120">_xlfn._xlws.PY(9,1,D119,F119,C119,D119)</f>
        <v>19.940073326228088</v>
      </c>
      <c r="E120" cm="1" vm="299">
        <f t="array" ref="E120">_xlfn._xlws.PY(7,1,C120,D120)</f>
        <v>26.046533518950486</v>
      </c>
      <c r="F120" s="2">
        <v>9.9999999999999995E-7</v>
      </c>
    </row>
    <row r="121" spans="3:6" x14ac:dyDescent="0.3">
      <c r="C121" cm="1" vm="300">
        <f t="array" ref="C121">_xlfn._xlws.PY(8,1,C120,F120,C120,D120)</f>
        <v>0.2297876359646632</v>
      </c>
      <c r="D121" cm="1" vm="301">
        <f t="array" ref="D121">_xlfn._xlws.PY(9,1,D120,F120,C120,D120)</f>
        <v>19.940072930733024</v>
      </c>
      <c r="E121" cm="1" vm="302">
        <f t="array" ref="E121">_xlfn._xlws.PY(7,1,C121,D121)</f>
        <v>26.04653331150417</v>
      </c>
      <c r="F121" s="2">
        <v>9.9999999999999995E-7</v>
      </c>
    </row>
    <row r="122" spans="3:6" x14ac:dyDescent="0.3">
      <c r="C122" cm="1" vm="303">
        <f t="array" ref="C122">_xlfn._xlws.PY(8,1,C121,F121,C121,D121)</f>
        <v>0.22978741464031563</v>
      </c>
      <c r="D122" cm="1" vm="304">
        <f t="array" ref="D122">_xlfn._xlws.PY(9,1,D121,F121,C121,D121)</f>
        <v>19.94007253527543</v>
      </c>
      <c r="E122" cm="1" vm="305">
        <f t="array" ref="E122">_xlfn._xlws.PY(7,1,C122,D122)</f>
        <v>26.04653310680018</v>
      </c>
      <c r="F122" s="2">
        <v>9.9999999999999995E-7</v>
      </c>
    </row>
    <row r="123" spans="3:6" x14ac:dyDescent="0.3">
      <c r="C123" cm="1" vm="306">
        <f t="array" ref="C123">_xlfn._xlws.PY(8,1,C122,F122,C122,D122)</f>
        <v>0.22978719927982813</v>
      </c>
      <c r="D123" cm="1" vm="307">
        <f t="array" ref="D123">_xlfn._xlws.PY(9,1,D122,F122,C122,D122)</f>
        <v>19.940072139854308</v>
      </c>
      <c r="E123" cm="1" vm="308">
        <f t="array" ref="E123">_xlfn._xlws.PY(7,1,C123,D123)</f>
        <v>26.046532904694267</v>
      </c>
      <c r="F123" s="2">
        <v>9.9999999999999995E-7</v>
      </c>
    </row>
    <row r="124" spans="3:6" x14ac:dyDescent="0.3">
      <c r="C124" cm="1" vm="309">
        <f t="array" ref="C124">_xlfn._xlws.PY(8,1,C123,F123,C123,D123)</f>
        <v>0.22978698972422806</v>
      </c>
      <c r="D124" cm="1" vm="310">
        <f t="array" ref="D124">_xlfn._xlws.PY(9,1,D123,F123,C123,D123)</f>
        <v>19.940071744468685</v>
      </c>
      <c r="E124" cm="1" vm="311">
        <f t="array" ref="E124">_xlfn._xlws.PY(7,1,C124,D124)</f>
        <v>26.046532705049767</v>
      </c>
      <c r="F124" s="2">
        <v>9.9999999999999995E-7</v>
      </c>
    </row>
    <row r="125" spans="3:6" x14ac:dyDescent="0.3">
      <c r="C125" cm="1" vm="312">
        <f t="array" ref="C125">_xlfn._xlws.PY(8,1,C124,F124,C124,D124)</f>
        <v>0.22978678581878037</v>
      </c>
      <c r="D125" cm="1" vm="313">
        <f t="array" ref="D125">_xlfn._xlws.PY(9,1,D124,F124,C124,D124)</f>
        <v>19.940071349117616</v>
      </c>
      <c r="E125" cm="1" vm="314">
        <f t="array" ref="E125">_xlfn._xlws.PY(7,1,C125,D125)</f>
        <v>26.046532507737211</v>
      </c>
      <c r="F125" s="2">
        <v>9.9999999999999995E-7</v>
      </c>
    </row>
    <row r="126" spans="3:6" x14ac:dyDescent="0.3">
      <c r="C126" cm="1" vm="315">
        <f t="array" ref="C126">_xlfn._xlws.PY(8,1,C125,F125,C125,D125)</f>
        <v>0.22978658741287461</v>
      </c>
      <c r="D126" cm="1" vm="316">
        <f t="array" ref="D126">_xlfn._xlws.PY(9,1,D125,F125,C125,D125)</f>
        <v>19.940070953800177</v>
      </c>
      <c r="E126" cm="1" vm="317">
        <f t="array" ref="E126">_xlfn._xlws.PY(7,1,C126,D126)</f>
        <v>26.046532312633929</v>
      </c>
      <c r="F126" s="2">
        <v>9.9999999999999995E-7</v>
      </c>
    </row>
    <row r="127" spans="3:6" x14ac:dyDescent="0.3">
      <c r="C127" cm="1" vm="318">
        <f t="array" ref="C127">_xlfn._xlws.PY(8,1,C126,F126,C126,D126)</f>
        <v>0.22978639435991502</v>
      </c>
      <c r="D127" cm="1" vm="319">
        <f t="array" ref="D127">_xlfn._xlws.PY(9,1,D126,F126,C126,D126)</f>
        <v>19.940070558515476</v>
      </c>
      <c r="E127" cm="1" vm="320">
        <f t="array" ref="E127">_xlfn._xlws.PY(7,1,C127,D127)</f>
        <v>26.046532119623713</v>
      </c>
      <c r="F127" s="2">
        <v>9.9999999999999995E-7</v>
      </c>
    </row>
    <row r="128" spans="3:6" x14ac:dyDescent="0.3">
      <c r="C128" cm="1" vm="321">
        <f t="array" ref="C128">_xlfn._xlws.PY(8,1,C127,F127,C127,D127)</f>
        <v>0.22978620651721346</v>
      </c>
      <c r="D128" cm="1" vm="322">
        <f t="array" ref="D128">_xlfn._xlws.PY(9,1,D127,F127,C127,D127)</f>
        <v>19.940070163262636</v>
      </c>
      <c r="E128" cm="1" vm="323">
        <f t="array" ref="E128">_xlfn._xlws.PY(7,1,C128,D128)</f>
        <v>26.046531928596465</v>
      </c>
      <c r="F128" s="2">
        <v>9.9999999999999995E-7</v>
      </c>
    </row>
    <row r="129" spans="3:6" x14ac:dyDescent="0.3">
      <c r="C129" cm="1" vm="324">
        <f t="array" ref="C129">_xlfn._xlws.PY(8,1,C128,F128,C128,D128)</f>
        <v>0.22978602374588533</v>
      </c>
      <c r="D129" cm="1" vm="325">
        <f t="array" ref="D129">_xlfn._xlws.PY(9,1,D128,F128,C128,D128)</f>
        <v>19.940069768040811</v>
      </c>
      <c r="E129" cm="1" vm="326">
        <f t="array" ref="E129">_xlfn._xlws.PY(7,1,C129,D129)</f>
        <v>26.046531739447875</v>
      </c>
      <c r="F129" s="2">
        <v>9.9999999999999995E-7</v>
      </c>
    </row>
    <row r="130" spans="3:6" x14ac:dyDescent="0.3">
      <c r="C130" cm="1" vm="327">
        <f t="array" ref="C130">_xlfn._xlws.PY(8,1,C129,F129,C129,D129)</f>
        <v>0.2297858459107481</v>
      </c>
      <c r="D130" cm="1" vm="328">
        <f t="array" ref="D130">_xlfn._xlws.PY(9,1,D129,F129,C129,D129)</f>
        <v>19.940069372849173</v>
      </c>
      <c r="E130" cm="1" vm="329">
        <f t="array" ref="E130">_xlfn._xlws.PY(7,1,C130,D130)</f>
        <v>26.046531552079131</v>
      </c>
      <c r="F130" s="2">
        <v>9.9999999999999995E-7</v>
      </c>
    </row>
    <row r="131" spans="3:6" x14ac:dyDescent="0.3">
      <c r="C131" cm="1" vm="330">
        <f t="array" ref="C131">_xlfn._xlws.PY(8,1,C130,F130,C130,D130)</f>
        <v>0.2297856728802227</v>
      </c>
      <c r="D131" cm="1" vm="331">
        <f t="array" ref="D131">_xlfn._xlws.PY(9,1,D130,F130,C130,D130)</f>
        <v>19.940068977686916</v>
      </c>
      <c r="E131" cm="1" vm="332">
        <f t="array" ref="E131">_xlfn._xlws.PY(7,1,C131,D131)</f>
        <v>26.0465313663966</v>
      </c>
      <c r="F131" s="2">
        <v>9.9999999999999995E-7</v>
      </c>
    </row>
    <row r="132" spans="3:6" x14ac:dyDescent="0.3">
      <c r="C132" cm="1" vm="333">
        <f t="array" ref="C132">_xlfn._xlws.PY(8,1,C131,F131,C131,D131)</f>
        <v>0.22978550452623739</v>
      </c>
      <c r="D132" cm="1" vm="334">
        <f t="array" ref="D132">_xlfn._xlws.PY(9,1,D131,F131,C131,D131)</f>
        <v>19.940068582553259</v>
      </c>
      <c r="E132" cm="1" vm="335">
        <f t="array" ref="E132">_xlfn._xlws.PY(7,1,C132,D132)</f>
        <v>26.046531182311593</v>
      </c>
      <c r="F132" s="2">
        <v>9.9999999999999995E-7</v>
      </c>
    </row>
    <row r="133" spans="3:6" x14ac:dyDescent="0.3">
      <c r="C133" cm="1" vm="336">
        <f t="array" ref="C133">_xlfn._xlws.PY(8,1,C132,F132,C132,D132)</f>
        <v>0.22978534072413434</v>
      </c>
      <c r="D133" cm="1" vm="337">
        <f t="array" ref="D133">_xlfn._xlws.PY(9,1,D132,F132,C132,D132)</f>
        <v>19.940068187447437</v>
      </c>
      <c r="E133" cm="1" vm="338">
        <f t="array" ref="E133">_xlfn._xlws.PY(7,1,C133,D133)</f>
        <v>26.046530999740074</v>
      </c>
      <c r="F133" s="2">
        <v>9.9999999999999995E-7</v>
      </c>
    </row>
    <row r="134" spans="3:6" x14ac:dyDescent="0.3">
      <c r="C134" cm="1" vm="339">
        <f t="array" ref="C134">_xlfn._xlws.PY(8,1,C133,F133,C133,D133)</f>
        <v>0.22978518135257861</v>
      </c>
      <c r="D134" cm="1" vm="340">
        <f t="array" ref="D134">_xlfn._xlws.PY(9,1,D133,F133,C133,D133)</f>
        <v>19.940067792368712</v>
      </c>
      <c r="E134" cm="1" vm="341">
        <f t="array" ref="E134">_xlfn._xlws.PY(7,1,C134,D134)</f>
        <v>26.046530818602431</v>
      </c>
      <c r="F134" s="2">
        <v>9.9999999999999995E-7</v>
      </c>
    </row>
    <row r="135" spans="3:6" x14ac:dyDescent="0.3">
      <c r="C135" cm="1" vm="342">
        <f t="array" ref="C135">_xlfn._xlws.PY(8,1,C134,F134,C134,D134)</f>
        <v>0.22978502629346953</v>
      </c>
      <c r="D135" cm="1" vm="343">
        <f t="array" ref="D135">_xlfn._xlws.PY(9,1,D134,F134,C134,D134)</f>
        <v>19.940067397316358</v>
      </c>
      <c r="E135" cm="1" vm="344">
        <f t="array" ref="E135">_xlfn._xlws.PY(7,1,C135,D135)</f>
        <v>26.046530638823242</v>
      </c>
      <c r="F135" s="2">
        <v>9.9999999999999995E-7</v>
      </c>
    </row>
    <row r="136" spans="3:6" x14ac:dyDescent="0.3">
      <c r="C136" cm="1" vm="345">
        <f t="array" ref="C136">_xlfn._xlws.PY(8,1,C135,F135,C135,D135)</f>
        <v>0.22978487543185452</v>
      </c>
      <c r="D136" cm="1" vm="346">
        <f t="array" ref="D136">_xlfn._xlws.PY(9,1,D135,F135,C135,D135)</f>
        <v>19.940067002289677</v>
      </c>
      <c r="E136" cm="1" vm="347">
        <f t="array" ref="E136">_xlfn._xlws.PY(7,1,C136,D136)</f>
        <v>26.046530460331052</v>
      </c>
      <c r="F136" s="2">
        <v>9.9999999999999995E-7</v>
      </c>
    </row>
    <row r="137" spans="3:6" x14ac:dyDescent="0.3">
      <c r="C137" cm="1" vm="348">
        <f t="array" ref="C137">_xlfn._xlws.PY(8,1,C136,F136,C136,D136)</f>
        <v>0.22978472865584523</v>
      </c>
      <c r="D137" cm="1" vm="349">
        <f t="array" ref="D137">_xlfn._xlws.PY(9,1,D136,F136,C136,D136)</f>
        <v>19.940066607287978</v>
      </c>
      <c r="E137" cm="1" vm="350">
        <f t="array" ref="E137">_xlfn._xlws.PY(7,1,C137,D137)</f>
        <v>26.046530283058157</v>
      </c>
      <c r="F137" s="2">
        <v>9.9999999999999995E-7</v>
      </c>
    </row>
    <row r="138" spans="3:6" x14ac:dyDescent="0.3">
      <c r="C138" cm="1" vm="351">
        <f t="array" ref="C138">_xlfn._xlws.PY(8,1,C137,F137,C137,D137)</f>
        <v>0.22978458585653574</v>
      </c>
      <c r="D138" cm="1" vm="352">
        <f t="array" ref="D138">_xlfn._xlws.PY(9,1,D137,F137,C137,D137)</f>
        <v>19.940066212310601</v>
      </c>
      <c r="E138" cm="1" vm="353">
        <f t="array" ref="E138">_xlfn._xlws.PY(7,1,C138,D138)</f>
        <v>26.046530106940427</v>
      </c>
      <c r="F138" s="2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Nhu-Tai Do</dc:creator>
  <cp:lastModifiedBy>Nhu-Tai Do</cp:lastModifiedBy>
  <dcterms:created xsi:type="dcterms:W3CDTF">2026-05-14T04:04:52Z</dcterms:created>
  <dcterms:modified xsi:type="dcterms:W3CDTF">2026-09-24T08:23:45Z</dcterms:modified>
</cp:coreProperties>
</file>